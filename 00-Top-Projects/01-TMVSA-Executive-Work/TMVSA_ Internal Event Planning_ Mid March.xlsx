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Timeline (Main Plan)" sheetId="2" r:id="rId5"/>
    <sheet state="visible" name="Commute times" sheetId="3" r:id="rId6"/>
    <sheet state="visible" name="Activities" sheetId="4" r:id="rId7"/>
    <sheet state="visible" name="Foods" sheetId="5" r:id="rId8"/>
    <sheet state="visible" name="Order Summary" sheetId="6" r:id="rId9"/>
    <sheet state="visible" name="Sheet13" sheetId="7" r:id="rId10"/>
    <sheet state="visible" name="Order List PivotTable" sheetId="8" r:id="rId11"/>
    <sheet state="visible" name="Order List Table" sheetId="9" r:id="rId12"/>
    <sheet state="hidden" name="Detail6-Trang-Pham" sheetId="10" r:id="rId13"/>
    <sheet state="hidden" name="Detail5-Trang-Pham" sheetId="11" r:id="rId14"/>
    <sheet state="visible" name="TMVSA Survey Statistics" sheetId="12" r:id="rId15"/>
    <sheet state="visible" name="Confirmation Results" sheetId="13" r:id="rId16"/>
    <sheet state="visible" name="Links" sheetId="14" r:id="rId17"/>
  </sheets>
  <definedNames>
    <definedName hidden="1" localSheetId="3" name="_xlnm._FilterDatabase">Activities!$A$1:$G$1000</definedName>
    <definedName hidden="1" localSheetId="4" name="_xlnm._FilterDatabase">Foods!$A$1:$I$1000</definedName>
    <definedName hidden="1" localSheetId="11" name="_xlnm._FilterDatabase">'TMVSA Survey Statistics'!$J$4:$L$8</definedName>
  </definedNames>
  <calcPr/>
  <pivotCaches>
    <pivotCache cacheId="0" r:id="rId18"/>
  </pivotCaches>
</workbook>
</file>

<file path=xl/sharedStrings.xml><?xml version="1.0" encoding="utf-8"?>
<sst xmlns="http://schemas.openxmlformats.org/spreadsheetml/2006/main" count="720" uniqueCount="386">
  <si>
    <t xml:space="preserve"> </t>
  </si>
  <si>
    <t xml:space="preserve">Denis To-do: </t>
  </si>
  <si>
    <t>1. Make the Timeline</t>
  </si>
  <si>
    <t>2. dinner stuffffz</t>
  </si>
  <si>
    <t>3. Food Brainstorming</t>
  </si>
  <si>
    <t>Coststststst</t>
  </si>
  <si>
    <t>Sunday</t>
  </si>
  <si>
    <t>Team Bonding Time!!!</t>
  </si>
  <si>
    <t>Let's get to know one another some more!!!</t>
  </si>
  <si>
    <t>It'll be fun, starting off with dinner at Ehwa's Restaurant, then straight to Karaoke(?)</t>
  </si>
  <si>
    <t>Jess To-do:</t>
  </si>
  <si>
    <t>- check in w/ Justin about revised plan (Ehwa J Bar, board game cafe)</t>
  </si>
  <si>
    <t>Timeline Summary</t>
  </si>
  <si>
    <t>- contact activity space</t>
  </si>
  <si>
    <t>DINNER: 6-7:30 PM</t>
  </si>
  <si>
    <t>Activity: 8-10 PM</t>
  </si>
  <si>
    <t>Date range 16-23 preferably Sunday</t>
  </si>
  <si>
    <t>Sunday 16 / Sunday 23</t>
  </si>
  <si>
    <t>Time</t>
  </si>
  <si>
    <t>Activity</t>
  </si>
  <si>
    <t>Details</t>
  </si>
  <si>
    <t>Notes</t>
  </si>
  <si>
    <t>Commute → SLC (If meeting up) 
or 
Ehwa J Restaurant &amp; Bar (if Commuting directly)</t>
  </si>
  <si>
    <t>Commute costs and times based on Individual's circumstances.</t>
  </si>
  <si>
    <r>
      <rPr/>
      <t xml:space="preserve">If you haven't already, try: </t>
    </r>
    <r>
      <rPr>
        <color rgb="FF1155CC"/>
        <u/>
      </rPr>
      <t>https://www.gotransit.com/en/student-savings</t>
    </r>
  </si>
  <si>
    <t xml:space="preserve">Meet @ SLC </t>
  </si>
  <si>
    <t>Meetup &amp; Commute together!</t>
  </si>
  <si>
    <t>Those who cannot meetup can go to the restaurant directly and follow the main timeline!</t>
  </si>
  <si>
    <t>Commute → Ehwa J Restaurant &amp; Bar</t>
  </si>
  <si>
    <t>Dine-in @ Ehwa J Restaurant &amp; Bar</t>
  </si>
  <si>
    <r>
      <rPr/>
      <t xml:space="preserve">Menu: </t>
    </r>
    <r>
      <rPr>
        <color rgb="FF1155CC"/>
        <u/>
      </rPr>
      <t>https://ehwa.ca/downtown-menu/</t>
    </r>
  </si>
  <si>
    <t>Commute → Bar Plus Karaoke</t>
  </si>
  <si>
    <t>Activity @ Bar Plus Karaoke</t>
  </si>
  <si>
    <t>~$6-11pp</t>
  </si>
  <si>
    <r>
      <rPr/>
      <t xml:space="preserve">call for group of &lt;16, fill out form for group &gt;16 </t>
    </r>
    <r>
      <rPr>
        <color rgb="FF1155CC"/>
        <u/>
      </rPr>
      <t>https://bar-plus.com/</t>
    </r>
  </si>
  <si>
    <t>Home time!!!</t>
  </si>
  <si>
    <r>
      <rPr>
        <rFont val="Arial"/>
        <color theme="1"/>
        <u/>
      </rPr>
      <t xml:space="preserve">Closest TTC Stations:
</t>
    </r>
    <r>
      <rPr>
        <rFont val="Arial"/>
        <color theme="1"/>
      </rPr>
      <t>1. Bloor-Yonge (2min walk)
2. Bay (6min walk)
3. Wellesley (6min walk)</t>
    </r>
  </si>
  <si>
    <t xml:space="preserve">  </t>
  </si>
  <si>
    <t>Restaurant</t>
  </si>
  <si>
    <t>Commute</t>
  </si>
  <si>
    <t>Main plan:</t>
  </si>
  <si>
    <t>Ehwa J Bar</t>
  </si>
  <si>
    <t>Twilight Cafe (Yonge)</t>
  </si>
  <si>
    <t>Ehwa → Twilight: 3min walk (190m)</t>
  </si>
  <si>
    <t>Backup:</t>
  </si>
  <si>
    <t>Pai Thai Toronto</t>
  </si>
  <si>
    <t>Bar+ Karaoke</t>
  </si>
  <si>
    <t>Pai → Bar+: 25min walk OR 17min TTC (1.7km)</t>
  </si>
  <si>
    <t>Backup 2:</t>
  </si>
  <si>
    <t>Ehwa J Bar → Bar+: 15min walk OR 8min TTC (1.1km)</t>
  </si>
  <si>
    <t>Backup 3:</t>
  </si>
  <si>
    <t>Pai → Twilight: 21min TTC (2.9km)</t>
  </si>
  <si>
    <t>Backup 4:</t>
  </si>
  <si>
    <t>VIP Billiards &amp; Lounge</t>
  </si>
  <si>
    <t>Ehwa J Bar →VIP Billiards &amp; Lounge: 26-33min TTC (4 km)</t>
  </si>
  <si>
    <t>Backup 5:</t>
  </si>
  <si>
    <t>Description</t>
  </si>
  <si>
    <t>Cost Per Person</t>
  </si>
  <si>
    <t xml:space="preserve">Avg. Time </t>
  </si>
  <si>
    <t>Pros</t>
  </si>
  <si>
    <t>Cons</t>
  </si>
  <si>
    <t>Priority</t>
  </si>
  <si>
    <t>Mafia</t>
  </si>
  <si>
    <t>-</t>
  </si>
  <si>
    <t>30-90 Minutes</t>
  </si>
  <si>
    <t>- Everyone can be involved</t>
  </si>
  <si>
    <t>- Idk how to play (at someone's place)</t>
  </si>
  <si>
    <t>scrapped</t>
  </si>
  <si>
    <t>REC ROOM</t>
  </si>
  <si>
    <r>
      <rPr/>
      <t xml:space="preserve">Location: 255 Bremner Blvd, Toronto, ON M5V 3L9
Website: </t>
    </r>
    <r>
      <rPr>
        <color rgb="FF1155CC"/>
        <u/>
      </rPr>
      <t>https://www.therecroom.com/toronto-roundhouse</t>
    </r>
  </si>
  <si>
    <t>- Toronto REC Room apparently does not have bowling.</t>
  </si>
  <si>
    <t>Twilight Cafe</t>
  </si>
  <si>
    <r>
      <rPr/>
      <t xml:space="preserve">Location: 667 Yonge St, Toronto, ON M4Y 1Z9
Website: </t>
    </r>
    <r>
      <rPr>
        <color rgb="FF1155CC"/>
        <u/>
      </rPr>
      <t>https://www.twilightcafe.ca/</t>
    </r>
    <r>
      <rPr/>
      <t xml:space="preserve"> </t>
    </r>
  </si>
  <si>
    <t>~$6pp</t>
  </si>
  <si>
    <t>1-2 hours</t>
  </si>
  <si>
    <t>- Everyone can be involved, cheap, variety of games, spacious, food and drinks, affordable</t>
  </si>
  <si>
    <t>- small tables, split up groups</t>
  </si>
  <si>
    <t>- call for group of &lt;16, fill out form for group &gt;16</t>
  </si>
  <si>
    <t>best option</t>
  </si>
  <si>
    <r>
      <rPr/>
      <t>Location: 360 Yonge St, Toronto, ON M5B 1S5 (</t>
    </r>
    <r>
      <rPr>
        <color rgb="FF1155CC"/>
        <u/>
      </rPr>
      <t>https://bar-plus.com/</t>
    </r>
    <r>
      <rPr/>
      <t xml:space="preserve">) </t>
    </r>
  </si>
  <si>
    <t>~$6pp-11pp (depending on group size)</t>
  </si>
  <si>
    <t>- private rooms (small/large, depending on group size), short commute, affordable</t>
  </si>
  <si>
    <t>- engagement might be difficult for some people</t>
  </si>
  <si>
    <t>submit form on website for group size/event details</t>
  </si>
  <si>
    <t>considering</t>
  </si>
  <si>
    <t>Ballroom bowl</t>
  </si>
  <si>
    <r>
      <rPr>
        <color rgb="FF000000"/>
      </rPr>
      <t>Location: 1 Bloor St E Unit CRU6, Toronto, ON M4W 0A8 (</t>
    </r>
    <r>
      <rPr>
        <color rgb="FF1155CC"/>
        <u/>
      </rPr>
      <t>https://yorkville.theballroombowl.ca/bowling</t>
    </r>
    <r>
      <rPr>
        <color rgb="FF000000"/>
      </rPr>
      <t>)</t>
    </r>
  </si>
  <si>
    <t>~$31-37pp (depending on group size)</t>
  </si>
  <si>
    <t>- private rooms, group engagement</t>
  </si>
  <si>
    <t>- high-end/expensive</t>
  </si>
  <si>
    <t>pricy af</t>
  </si>
  <si>
    <r>
      <rPr/>
      <t>Location: 842 College St, Toronto, ON M6H 1A2 (</t>
    </r>
    <r>
      <rPr>
        <color rgb="FF1155CC"/>
        <u/>
      </rPr>
      <t>https://vipbilliardsclub.com/</t>
    </r>
    <r>
      <rPr/>
      <t>)</t>
    </r>
  </si>
  <si>
    <t>~$5-10pp (depending on group size)</t>
  </si>
  <si>
    <t>- relaxed activity, affordable</t>
  </si>
  <si>
    <t>- small tables, split up groups, limited involvement</t>
  </si>
  <si>
    <t>call</t>
  </si>
  <si>
    <t>Estimated Cost Per Person (May be Inaccurate)</t>
  </si>
  <si>
    <t>Delivery</t>
  </si>
  <si>
    <t>Dine-In</t>
  </si>
  <si>
    <t>Cuisine Origin</t>
  </si>
  <si>
    <t>Ehwa Bar &amp; Restaurant</t>
  </si>
  <si>
    <r>
      <rPr/>
      <t xml:space="preserve">Hours of Operation on Sunday: 5 PM - 3 AM 
Address: 16 Isabella St, Toronto, ON M4Y 2A1;
Contact: +14169289990
Menu: </t>
    </r>
    <r>
      <rPr>
        <color rgb="FF1155CC"/>
        <u/>
      </rPr>
      <t>https://www.instagram.com/ehwa_restaurant/</t>
    </r>
    <r>
      <rPr/>
      <t xml:space="preserve">
Wbsite: </t>
    </r>
    <r>
      <rPr>
        <color rgb="FF1155CC"/>
        <u/>
      </rPr>
      <t>https://ehwa.ca/downtown-menu/</t>
    </r>
  </si>
  <si>
    <t xml:space="preserve">$20-$30
</t>
  </si>
  <si>
    <t>- yummy
- has dine-in with space
- super close to karaoke and bowling and boardgame cafeeeee</t>
  </si>
  <si>
    <t xml:space="preserve">- </t>
  </si>
  <si>
    <t>Yes</t>
  </si>
  <si>
    <t>Korean</t>
  </si>
  <si>
    <t xml:space="preserve">PAI Thai Northern Thai Kitchen
</t>
  </si>
  <si>
    <r>
      <rPr/>
      <t xml:space="preserve">Hours of Operation on Sunday: 11:45 AM - 9:30 PM
Address: 18 Duncan St Downtown, Ontario M5H 3G8
Contact: +1 (416) 901-4724
Website: </t>
    </r>
    <r>
      <rPr>
        <color rgb="FF1155CC"/>
        <u/>
      </rPr>
      <t>https://www.paitoronto.com/</t>
    </r>
    <r>
      <rPr/>
      <t xml:space="preserve">
Reserve: </t>
    </r>
    <r>
      <rPr>
        <color rgb="FF1155CC"/>
        <u/>
      </rPr>
      <t>https://www.opentable.ca/restref/client/?restref=231088&amp;lang=en-CA&amp;corrid=0424c798-2474-4280-8a7e-321d7e37c5d5</t>
    </r>
  </si>
  <si>
    <t>$20-$30</t>
  </si>
  <si>
    <t>Thailand</t>
  </si>
  <si>
    <t>Haidilao Hot Pot Toronto Downtown</t>
  </si>
  <si>
    <r>
      <rPr/>
      <t xml:space="preserve">Hours of Operation on Sunday: 11:00 AM - 3:00 AM
Address: 237 Yonge St, Toronto, ON M5B 1N8
Contact: +14377781068
Website: </t>
    </r>
    <r>
      <rPr>
        <color rgb="FF1155CC"/>
        <u/>
      </rPr>
      <t>https://www.haidilao-inc.com/ca</t>
    </r>
  </si>
  <si>
    <t>$10-$20</t>
  </si>
  <si>
    <t>- Hotpot
- Hours of Operation bodes well for the timeline</t>
  </si>
  <si>
    <t xml:space="preserve">
- Little bit far.
</t>
  </si>
  <si>
    <t>Chinese</t>
  </si>
  <si>
    <t>Gyu-Kaku Japanese BBQ</t>
  </si>
  <si>
    <r>
      <rPr/>
      <t xml:space="preserve">Hours of Operation on Sunday: 11:30 AM - 8:30 PM 
Address: 81 Church St, Toronto, ON M5C 2G2
Contact: +16473512378
Website: </t>
    </r>
    <r>
      <rPr>
        <color rgb="FF1155CC"/>
        <u/>
      </rPr>
      <t>http://www.gyu-kaku.com/toronto</t>
    </r>
  </si>
  <si>
    <t>- Sushi
- Hours of Operation bodes well for the timeline</t>
  </si>
  <si>
    <t>Japanese</t>
  </si>
  <si>
    <t>Mom's Pan-Fried Bun</t>
  </si>
  <si>
    <r>
      <rPr/>
      <t xml:space="preserve">Hours of Operation on Sunday: 10 AM - 10 PM 
Address: 185 Dundas St W, Toronto, ON M5G 1C7
Contact: +16473468368
Website: </t>
    </r>
    <r>
      <rPr>
        <color rgb="FF1155CC"/>
        <u/>
      </rPr>
      <t>https://momspanfriedbun.com/</t>
    </r>
    <r>
      <rPr/>
      <t xml:space="preserve">
Menu: </t>
    </r>
    <r>
      <rPr>
        <color rgb="FF1155CC"/>
        <u/>
      </rPr>
      <t>https://momspanfriedbun.com/</t>
    </r>
  </si>
  <si>
    <t xml:space="preserve">$10-$20 </t>
  </si>
  <si>
    <t>- Midsize Menu
- Dumplings, Noodles and moreee</t>
  </si>
  <si>
    <t xml:space="preserve">
- Little bit far.</t>
  </si>
  <si>
    <t>Happy Lamb Hot Pot, Toronto</t>
  </si>
  <si>
    <r>
      <rPr/>
      <t xml:space="preserve">Hours of Operation on Sunday: 11:30 AM - 10:30 AM
Address: 421 Dundas St W, Toronto, ON M5T 2W4
Contact: +14167928885
Website: </t>
    </r>
    <r>
      <rPr>
        <color rgb="FF1155CC"/>
        <u/>
      </rPr>
      <t>https://happylambhotpotca.com/</t>
    </r>
  </si>
  <si>
    <t>$30-$40</t>
  </si>
  <si>
    <t xml:space="preserve"> Mongolian</t>
  </si>
  <si>
    <t>H-Mart</t>
  </si>
  <si>
    <r>
      <rPr/>
      <t xml:space="preserve">Hours of Operation on Sunday: 9 AM - 11 PM 
Address: 338 Yonge St, Toronto, ON M5B 1R8
Contact: +16473503100
BBQ Menu: </t>
    </r>
    <r>
      <rPr>
        <color rgb="FF1155CC"/>
        <u/>
      </rPr>
      <t>https://www.hmartca.com/bbq</t>
    </r>
  </si>
  <si>
    <t xml:space="preserve">$10-$15 
</t>
  </si>
  <si>
    <t xml:space="preserve">- Menu is plentiful.
- Nearby
- Familiar
- Just cost effective
- Hours of Operation bodes well for the timeline. </t>
  </si>
  <si>
    <t>No</t>
  </si>
  <si>
    <t>Banh Mi Boys</t>
  </si>
  <si>
    <r>
      <rPr/>
      <t xml:space="preserve">Hours of Operation on Sunday: 11 AM - 8 PM 
Address: 329 Yonge St, Toronto, ON M5B 1R7
Contact: +14169770303
Website: </t>
    </r>
    <r>
      <rPr>
        <color rgb="FF1155CC"/>
        <u/>
      </rPr>
      <t>https://banhmiboys.com</t>
    </r>
    <r>
      <rPr/>
      <t xml:space="preserve">/
Menu: </t>
    </r>
    <r>
      <rPr>
        <color rgb="FF1155CC"/>
        <u/>
      </rPr>
      <t>https://banhmiboys.order-online.ai/#/</t>
    </r>
  </si>
  <si>
    <t xml:space="preserve">- Banh Mi
- Nearby
- Familiar Cuisine
- Hours of Operation bodes well for the timeline. </t>
  </si>
  <si>
    <t>- Expensive for just Banh Mi
- Too small to dine in</t>
  </si>
  <si>
    <t>Vietnamese</t>
  </si>
  <si>
    <t>B-Town pizza</t>
  </si>
  <si>
    <r>
      <rPr/>
      <t xml:space="preserve">Hours of Operation on Sunday: 11 AM - 2 AM 
Address: 13 Elm St, Toronto, ON M5G 1H1
Contact: +14168130525
Website: </t>
    </r>
    <r>
      <rPr>
        <color rgb="FF1155CC"/>
        <u/>
      </rPr>
      <t>https://btownpizza.ca/</t>
    </r>
  </si>
  <si>
    <t>$10-$30</t>
  </si>
  <si>
    <t xml:space="preserve">- Feeds lots
- Nearby
- Familiar
- Hours of Operation bodes well for the timeline. </t>
  </si>
  <si>
    <t>Italian</t>
  </si>
  <si>
    <t>Bapbo Korean Restaurant</t>
  </si>
  <si>
    <r>
      <rPr/>
      <t xml:space="preserve">Hours of Operation on Sunday: 11:30 AM - 10 PM 
Address: 142 Dundas St W, Toronto, ON M5G 1C3
Contact: +16473523312
Website: </t>
    </r>
    <r>
      <rPr>
        <color rgb="FF1155CC"/>
        <u/>
      </rPr>
      <t>https://www.bapbo.com/menus</t>
    </r>
  </si>
  <si>
    <t xml:space="preserve">- Menu is plentiful.
- Portions are plentiful
- Familiar
- Hours of Operation bodes well for the timeline. </t>
  </si>
  <si>
    <t>- Expensive</t>
  </si>
  <si>
    <t>Daldongnae Korean BBQ - Dundas Square</t>
  </si>
  <si>
    <r>
      <rPr/>
      <t xml:space="preserve">Hours of Operation on Sunday: 11:30 AM - 1 AM 
Address: 361 Yonge St Second Floor, Toronto, ON M5B 1S1
Contact: +16473688470
Website: </t>
    </r>
    <r>
      <rPr>
        <color rgb="FF1155CC"/>
        <u/>
      </rPr>
      <t>https://www.daldongnaebbq.com/</t>
    </r>
  </si>
  <si>
    <t xml:space="preserve">$20-$40
</t>
  </si>
  <si>
    <t xml:space="preserve">- Menu is plentiful.
- Nearby
- Familiar
- Hours of Operation bodes well for the timeline. </t>
  </si>
  <si>
    <t>Pho Ha Noi</t>
  </si>
  <si>
    <t>Hours of Operation on Sunday: 4 PM - 4 AM 
Address: 374 College St, Toronto, ON M5T 1S6
Contact: +14169224415
Website:  N/A
Menu: N/A</t>
  </si>
  <si>
    <t xml:space="preserve">- Pho
- Nearby
- Familiar Cuisine
- Hours of Operation bodes well for the timeline. </t>
  </si>
  <si>
    <t xml:space="preserve">Pho Pasteur Restaurant
</t>
  </si>
  <si>
    <r>
      <rPr/>
      <t xml:space="preserve">Hours of Operation on Sunday: 4 PM - 4 AM 
Address: 525 Dundas St W, Toronto, ON M5T 1H3
Contact: +14169224415
Website:  </t>
    </r>
    <r>
      <rPr>
        <color rgb="FF1155CC"/>
        <u/>
      </rPr>
      <t>http://phopasteur.ca/</t>
    </r>
    <r>
      <rPr/>
      <t xml:space="preserve">
Menu: </t>
    </r>
    <r>
      <rPr>
        <color rgb="FF1155CC"/>
        <u/>
      </rPr>
      <t>http://phopasteur.ca/#menu</t>
    </r>
  </si>
  <si>
    <t>Pho Anh Vu</t>
  </si>
  <si>
    <r>
      <rPr/>
      <t xml:space="preserve">Hours of Operation on Sunday: 11:30 AM - 10:30 AM 
Address: 421 Dundas St W, Toronto, ON M5T 2W4 
Contact: +14167928885 
Website: </t>
    </r>
    <r>
      <rPr>
        <color rgb="FF1155CC"/>
        <u/>
      </rPr>
      <t>N</t>
    </r>
    <r>
      <rPr/>
      <t>/A</t>
    </r>
  </si>
  <si>
    <t>If you're trying to see who ordered what, see the PivotTable sheet!!!</t>
  </si>
  <si>
    <t>Salad</t>
  </si>
  <si>
    <t>Order Item</t>
  </si>
  <si>
    <t>Cost</t>
  </si>
  <si>
    <t>Quantity</t>
  </si>
  <si>
    <t>Total Cost (After Tax)</t>
  </si>
  <si>
    <t>Pasta</t>
  </si>
  <si>
    <t>Name</t>
  </si>
  <si>
    <t>Allergies</t>
  </si>
  <si>
    <t>Other Messages</t>
  </si>
  <si>
    <t>Bocconcini Salad</t>
  </si>
  <si>
    <t>Tonkatsu</t>
  </si>
  <si>
    <t>Ehwa Mini Salad</t>
  </si>
  <si>
    <t>Hamburg Steak</t>
  </si>
  <si>
    <t>Caesar Salad</t>
  </si>
  <si>
    <t>Hansang</t>
  </si>
  <si>
    <t>Ttukbaegi Pasta</t>
  </si>
  <si>
    <t>Omurice</t>
  </si>
  <si>
    <t>Ehwa Clam Pasta</t>
  </si>
  <si>
    <t>Main</t>
  </si>
  <si>
    <t>Pork Belly Chilli Cream Pasta</t>
  </si>
  <si>
    <t>Pizza</t>
  </si>
  <si>
    <t>Polack Roe Pasta</t>
  </si>
  <si>
    <t>Korean Lunch Box</t>
  </si>
  <si>
    <t>Ehwa Tonkatsu</t>
  </si>
  <si>
    <t>Cheese Tonkatsu</t>
  </si>
  <si>
    <t>Spicy Cream Tonkatsu</t>
  </si>
  <si>
    <t>Fish Katsu</t>
  </si>
  <si>
    <t>Ehwa Hamburg Steak</t>
  </si>
  <si>
    <t>Chilli Cream Hamburg Steak</t>
  </si>
  <si>
    <t>Ehwa Jeong-Sik</t>
  </si>
  <si>
    <t>Spicy Pork</t>
  </si>
  <si>
    <t>Pork Belly</t>
  </si>
  <si>
    <t>Bulgogi</t>
  </si>
  <si>
    <t>Original Omurice</t>
  </si>
  <si>
    <t>Humburg Steak Omurice</t>
  </si>
  <si>
    <t>Tonkatsu Omurice</t>
  </si>
  <si>
    <t>Sausage Omurice</t>
  </si>
  <si>
    <t>Army Soup</t>
  </si>
  <si>
    <t>Soon Tofu Soup</t>
  </si>
  <si>
    <t>Braised Spicy Pork Rib</t>
  </si>
  <si>
    <t>Yukhoe Bibimbap</t>
  </si>
  <si>
    <t>Injeolmi Honey Pizza</t>
  </si>
  <si>
    <t>Grand Totals</t>
  </si>
  <si>
    <t>Timestamp</t>
  </si>
  <si>
    <t>First Name:</t>
  </si>
  <si>
    <t>Bocconcini Salad | $12.99</t>
  </si>
  <si>
    <t>Ehwa Mini Salad | $7.99</t>
  </si>
  <si>
    <t>Caesar Salad | $7.99</t>
  </si>
  <si>
    <t>Ttukbaegi Pasta | $23.99</t>
  </si>
  <si>
    <t>Ehwa Clam Pasta | $20.99</t>
  </si>
  <si>
    <t>Pork Belly Chilli Cream Pasta | $20.99</t>
  </si>
  <si>
    <t>Polack Roe Pasta | $20.99</t>
  </si>
  <si>
    <t>Ehwa Tonkatsu | $18.99</t>
  </si>
  <si>
    <t>Cheese Tonkatsu | $21.99</t>
  </si>
  <si>
    <t>Spicy Cream Tonkatsu | $22.99</t>
  </si>
  <si>
    <t>Fish Katsu | $22.99</t>
  </si>
  <si>
    <t>Ehwa Hamburg Steak | $21.99</t>
  </si>
  <si>
    <t>Chilli Cream Hamburg Steak | $21.99</t>
  </si>
  <si>
    <t>Ehwa Jeong-Sik | $21.99</t>
  </si>
  <si>
    <t>Spicy Pork | $19.99</t>
  </si>
  <si>
    <t>Pork Belly | $19.99</t>
  </si>
  <si>
    <t>Bulgogi | $19.99</t>
  </si>
  <si>
    <t>Original | $17.99</t>
  </si>
  <si>
    <t>Humburg Steak | $22.99</t>
  </si>
  <si>
    <t>Tonkatsu | $20.99</t>
  </si>
  <si>
    <t>Sausage | $19.99</t>
  </si>
  <si>
    <t>Army Soup | $19.99</t>
  </si>
  <si>
    <t>Soon Tofu Soup | $19.99</t>
  </si>
  <si>
    <t>Braised Spicy Pork Rib | $23.99</t>
  </si>
  <si>
    <t>Yukhoe Bibimbap | $18.99</t>
  </si>
  <si>
    <t>Injeolmi Honey Pizza | $16.99</t>
  </si>
  <si>
    <t>Lunch Box | $xx.xx</t>
  </si>
  <si>
    <t>Individual Cost (Before Tax)</t>
  </si>
  <si>
    <t>Individual Cost (After Tax)</t>
  </si>
  <si>
    <t>Total Cost W/ Karaoke</t>
  </si>
  <si>
    <t>Khuong Hoang</t>
  </si>
  <si>
    <t>Bao</t>
  </si>
  <si>
    <t>Presly</t>
  </si>
  <si>
    <t>Kathy</t>
  </si>
  <si>
    <t>Teresa</t>
  </si>
  <si>
    <t>Britney</t>
  </si>
  <si>
    <t>Ivy</t>
  </si>
  <si>
    <t>Khanh</t>
  </si>
  <si>
    <t>Trang</t>
  </si>
  <si>
    <t>Denis</t>
  </si>
  <si>
    <t>Alex</t>
  </si>
  <si>
    <t>Email address</t>
  </si>
  <si>
    <t>Last Name:</t>
  </si>
  <si>
    <t>Is there anything we should know about? (i.e. allergies)
Mình có lưu ý gì đặc biệt hong? (dị ứng,...)</t>
  </si>
  <si>
    <t>Ehwa Jeong-Sik | $24.99</t>
  </si>
  <si>
    <t>Is there anything you want to tell us?
Nhà mình có tâm sự gì hong nè 😊</t>
  </si>
  <si>
    <t>alex.kieu@torontomu.ca</t>
  </si>
  <si>
    <t>Kieu</t>
  </si>
  <si>
    <t>Order</t>
  </si>
  <si>
    <t>denis.thai@torontomu.ca</t>
  </si>
  <si>
    <t>Thai</t>
  </si>
  <si>
    <t>NO I EAT EVERYTHING!!!</t>
  </si>
  <si>
    <t>This is just test submission for the sheets!!!</t>
  </si>
  <si>
    <t>huyentrang.pham@torontomu.ca</t>
  </si>
  <si>
    <t>Pham</t>
  </si>
  <si>
    <t>nuts allergies</t>
  </si>
  <si>
    <t>draft but also my real response 😊 love u guys</t>
  </si>
  <si>
    <t>khanh.su@torontomu.ca</t>
  </si>
  <si>
    <t>Su</t>
  </si>
  <si>
    <t>my.vu@torontomu.ca</t>
  </si>
  <si>
    <t>Vu</t>
  </si>
  <si>
    <t>Nope</t>
  </si>
  <si>
    <t>yum yum yum yum yum yum💔</t>
  </si>
  <si>
    <t>britney.phung@torontomu.ca</t>
  </si>
  <si>
    <t>Phung</t>
  </si>
  <si>
    <t>no</t>
  </si>
  <si>
    <t>teresa.van@torontomu.ca</t>
  </si>
  <si>
    <t>Van</t>
  </si>
  <si>
    <t>k1bui@torontomu.ca</t>
  </si>
  <si>
    <t>Bui</t>
  </si>
  <si>
    <t>No allergies!!</t>
  </si>
  <si>
    <t>presly.trinh@torontomu.ca</t>
  </si>
  <si>
    <t>Trinh</t>
  </si>
  <si>
    <t>I’m not writing anything again</t>
  </si>
  <si>
    <t>ngocthienbao.le@torontomu.ca</t>
  </si>
  <si>
    <t>Le</t>
  </si>
  <si>
    <t>dị ứng với người không iu mình 🥰</t>
  </si>
  <si>
    <t>dạ hôm đó mình nhậu nhẹt uống tí cồn được không ạ 🥰🤟🏻</t>
  </si>
  <si>
    <t>Khuonghoang.tran@torontomu.ca</t>
  </si>
  <si>
    <t>Tran</t>
  </si>
  <si>
    <t>ko</t>
  </si>
  <si>
    <t>quynh lon</t>
  </si>
  <si>
    <t>How much at most are you willing to spend?</t>
  </si>
  <si>
    <t>Are you okay with taking the TTC?</t>
  </si>
  <si>
    <t>How long are you okay with commuting?</t>
  </si>
  <si>
    <t>Bowling 🎳</t>
  </si>
  <si>
    <t>Karaoke 🎤</t>
  </si>
  <si>
    <t>Boardgame Cafe ♛</t>
  </si>
  <si>
    <t>Billiards 🎱</t>
  </si>
  <si>
    <t>$30</t>
  </si>
  <si>
    <t>$20</t>
  </si>
  <si>
    <t>Averages</t>
  </si>
  <si>
    <t>Std. Deviation</t>
  </si>
  <si>
    <t>Use filters to sort by value order.</t>
  </si>
  <si>
    <t>Karaoke</t>
  </si>
  <si>
    <t>Billiards</t>
  </si>
  <si>
    <t>$40</t>
  </si>
  <si>
    <t>Boardgame Cafe</t>
  </si>
  <si>
    <t>Bowling</t>
  </si>
  <si>
    <t>&gt;$50</t>
  </si>
  <si>
    <t>&lt;$10</t>
  </si>
  <si>
    <t>10-Point Scale Average</t>
  </si>
  <si>
    <t>Average (In Minutes)</t>
  </si>
  <si>
    <t>Commute Time Average</t>
  </si>
  <si>
    <t>Average Budget</t>
  </si>
  <si>
    <t>Budget</t>
  </si>
  <si>
    <t>~ 30</t>
  </si>
  <si>
    <t>Are you okay with spending $20-30 on dining + karaoke?
Nhà mình có thể chi $20-30 cho ăn tối và karaoke hong?</t>
  </si>
  <si>
    <t>Will you be attending the event on March 19th?
Nhà mình có tới được vào ngày 19 tháng 3 hong?</t>
  </si>
  <si>
    <t>Is there anything you want to tell us?
Mình có điều gì muốn tâm sự hong nè 😊</t>
  </si>
  <si>
    <t>Yes - Oke luôn cho sốp</t>
  </si>
  <si>
    <t>Yes - Đến liền!</t>
  </si>
  <si>
    <t>Test Response but also my real response yuhhh</t>
  </si>
  <si>
    <t>attend both</t>
  </si>
  <si>
    <t>thank you guyssss so so much 💗</t>
  </si>
  <si>
    <t>might come</t>
  </si>
  <si>
    <t>Bill</t>
  </si>
  <si>
    <t>khuonghoang.tran@torontomu.ca</t>
  </si>
  <si>
    <t>Honk</t>
  </si>
  <si>
    <t>nah</t>
  </si>
  <si>
    <t>only ehwa</t>
  </si>
  <si>
    <t>Justin</t>
  </si>
  <si>
    <t>Lam</t>
  </si>
  <si>
    <t>justin4.lam@torontomu.ca</t>
  </si>
  <si>
    <t>only karaoke</t>
  </si>
  <si>
    <t>Diem</t>
  </si>
  <si>
    <t>Ngo</t>
  </si>
  <si>
    <t>diem.ngo@torontomu.ca</t>
  </si>
  <si>
    <t>No - Mị còn trẻ, mị cũng muốn đi chơi 😭</t>
  </si>
  <si>
    <t>will probably only attend karaoke</t>
  </si>
  <si>
    <t>jess</t>
  </si>
  <si>
    <t>le</t>
  </si>
  <si>
    <t>j13le@torontomu.ca</t>
  </si>
  <si>
    <t>iu iu iu &lt;3 big love</t>
  </si>
  <si>
    <t>15 ppl karaoke</t>
  </si>
  <si>
    <t>britney</t>
  </si>
  <si>
    <t>phung</t>
  </si>
  <si>
    <t>i will not be participating in the karaoke activity, i will be there for the dinner portion</t>
  </si>
  <si>
    <t>14 ppl dinner (?)</t>
  </si>
  <si>
    <t>Minh không đi karaoke but i will go to the dinner! XD</t>
  </si>
  <si>
    <t>She might come for both ehwa and karaoke</t>
  </si>
  <si>
    <t>Hanna</t>
  </si>
  <si>
    <t>Phan</t>
  </si>
  <si>
    <t>hanna.phan@torontomu.ca</t>
  </si>
  <si>
    <t>No - Sẽ đến bằng đường chim bay 🦅</t>
  </si>
  <si>
    <t>I will come directly to the restaurant and I will probably late.</t>
  </si>
  <si>
    <t>Nguyen</t>
  </si>
  <si>
    <t>justin.huy.nguyen@torontomu.ca</t>
  </si>
  <si>
    <t xml:space="preserve">Teresa </t>
  </si>
  <si>
    <t xml:space="preserve">It’s 50/50 I’ll be at Karaoke but allocate a spot for me! I’ll also be commuting to dinner alone because I have a mandatory class workshop from 3-6 PM :) Good job guys </t>
  </si>
  <si>
    <t>Cherry</t>
  </si>
  <si>
    <t>lenamphuong.tran@torontomu.ca</t>
  </si>
  <si>
    <t xml:space="preserve">Mình là người ăn ngay nói thẳng, mình straight-forward á. Cho nên mình hong có vòng vo tam quốc nha, mình sẽ nói straight to the point, kiểu của mình là dzậy 🤌🏻 nhìu lúc nói đi nói lại mình cũng mệt lắm, kiểu nó tired mà nó not delivering anything á ~ nên giờ mình nói lun nè. LÀ MÌNH IU MẤY BẠN VLER 🌸 I LUV U GUYS. That's all ~  🫶🏻🧸 EVERYONE BRINGS THEIR CAMERAAAA </t>
  </si>
  <si>
    <t>Chau</t>
  </si>
  <si>
    <t>chau2.nguyen@torontomu.ca</t>
  </si>
  <si>
    <t>cứt</t>
  </si>
  <si>
    <t>Vi</t>
  </si>
  <si>
    <t>vi.phung@torontomu.ca</t>
  </si>
  <si>
    <t>Ryan</t>
  </si>
  <si>
    <t>sang.le@torontomu.ca</t>
  </si>
  <si>
    <t>Chi</t>
  </si>
  <si>
    <t>Mai</t>
  </si>
  <si>
    <t>hoanguyenchi.mai@toronto.ca</t>
  </si>
  <si>
    <t>i’ll join around 6:20pm and leave at 8:45pm as i’ll have another plan ^^</t>
  </si>
  <si>
    <t>sodana</t>
  </si>
  <si>
    <t>ung</t>
  </si>
  <si>
    <t>sodana.ung@torontomu.ca</t>
  </si>
  <si>
    <t>Presentation:</t>
  </si>
  <si>
    <t>https://docs.google.com/presentation/d/11bqyeZxr0WC58j-DEv2aVUN9QBZhJ4DIwzCbjay6eGI/edit?usp=sharing</t>
  </si>
  <si>
    <t>Editor Links</t>
  </si>
  <si>
    <t>Form:</t>
  </si>
  <si>
    <t>https://forms.gle/K4xRtPzM5oP1gYtYA</t>
  </si>
  <si>
    <t>Form</t>
  </si>
  <si>
    <t>https://docs.google.com/forms/d/1PHfR4JBCMjRXVgaLJdNX_0jMnOGJzL_H4g6Dcy6Rnq4/edit</t>
  </si>
  <si>
    <t xml:space="preserve">Order Form (Ehwa): </t>
  </si>
  <si>
    <t>https://forms.gle/wMa2jRDPtt6fZPHk6</t>
  </si>
  <si>
    <t>https://docs.google.com/forms/d/1h_KZ8B-ozkQ4X4b96x8HLLxx2-ODGD2Kb4URK4qAdQU/edit</t>
  </si>
  <si>
    <t>Confirmation Form</t>
  </si>
  <si>
    <t>https://forms.gle/7xcReJ1jcaNzcG1G9</t>
  </si>
  <si>
    <t>https://docs.google.com/forms/d/16Cx4vI8zIWzfiaflsk4MEH5NgzPlxNjd42qLeH28T5s/edit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</si>
</sst>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"/>
    <numFmt numFmtId="165" formatCode="mmmm, d, yyyy"/>
    <numFmt numFmtId="166" formatCode="h&quot;:&quot;mm&quot; &quot;am/pm"/>
    <numFmt numFmtId="167" formatCode="[$$]#,##0.00"/>
    <numFmt numFmtId="168" formatCode="m/d/yyyy h:mm:ss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Roboto"/>
    </font>
    <font>
      <sz val="11.0"/>
      <color theme="1"/>
      <name val="Arial"/>
      <scheme val="minor"/>
    </font>
    <font>
      <b/>
      <sz val="12.0"/>
      <color theme="1"/>
      <name val="Arial"/>
      <scheme val="minor"/>
    </font>
    <font/>
    <font>
      <b/>
      <sz val="11.0"/>
      <color theme="1"/>
      <name val="Roboto"/>
    </font>
    <font>
      <sz val="9.0"/>
      <color theme="1"/>
      <name val="Arial"/>
      <scheme val="minor"/>
    </font>
    <font>
      <sz val="12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FFFFFF"/>
      <name val="Arial"/>
      <scheme val="minor"/>
    </font>
    <font>
      <color rgb="FF000000"/>
      <name val="Arial"/>
      <scheme val="minor"/>
    </font>
    <font>
      <b/>
      <color rgb="FFFFFFFF"/>
      <name val="Arial"/>
      <scheme val="minor"/>
    </font>
    <font>
      <u/>
      <color rgb="FF0000FF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49564C"/>
        <bgColor rgb="FF49564C"/>
      </patternFill>
    </fill>
    <fill>
      <patternFill patternType="solid">
        <fgColor rgb="FFCCCCCC"/>
        <bgColor rgb="FFCCCCCC"/>
      </patternFill>
    </fill>
    <fill>
      <patternFill patternType="solid">
        <fgColor rgb="FFB4A7D6"/>
        <bgColor rgb="FFB4A7D6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Border="1" applyFont="1"/>
    <xf borderId="2" fillId="2" fontId="1" numFmtId="0" xfId="0" applyAlignment="1" applyBorder="1" applyFont="1">
      <alignment readingOrder="0"/>
    </xf>
    <xf borderId="3" fillId="2" fontId="1" numFmtId="0" xfId="0" applyBorder="1" applyFont="1"/>
    <xf borderId="1" fillId="3" fontId="1" numFmtId="0" xfId="0" applyAlignment="1" applyBorder="1" applyFill="1" applyFont="1">
      <alignment readingOrder="0"/>
    </xf>
    <xf borderId="3" fillId="3" fontId="1" numFmtId="0" xfId="0" applyBorder="1" applyFont="1"/>
    <xf borderId="4" fillId="2" fontId="1" numFmtId="0" xfId="0" applyBorder="1" applyFont="1"/>
    <xf borderId="0" fillId="2" fontId="1" numFmtId="0" xfId="0" applyFont="1"/>
    <xf borderId="5" fillId="2" fontId="1" numFmtId="0" xfId="0" applyBorder="1" applyFont="1"/>
    <xf borderId="4" fillId="3" fontId="1" numFmtId="0" xfId="0" applyAlignment="1" applyBorder="1" applyFont="1">
      <alignment readingOrder="0"/>
    </xf>
    <xf borderId="5" fillId="3" fontId="1" numFmtId="0" xfId="0" applyBorder="1" applyFont="1"/>
    <xf borderId="4" fillId="2" fontId="1" numFmtId="0" xfId="0" applyAlignment="1" applyBorder="1" applyFont="1">
      <alignment readingOrder="0"/>
    </xf>
    <xf borderId="6" fillId="3" fontId="1" numFmtId="0" xfId="0" applyBorder="1" applyFont="1"/>
    <xf borderId="7" fillId="3" fontId="1" numFmtId="0" xfId="0" applyBorder="1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 shrinkToFit="0" wrapText="1"/>
    </xf>
    <xf borderId="1" fillId="4" fontId="4" numFmtId="0" xfId="0" applyAlignment="1" applyBorder="1" applyFill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4" fillId="4" fontId="6" numFmtId="165" xfId="0" applyAlignment="1" applyBorder="1" applyFont="1" applyNumberFormat="1">
      <alignment horizontal="center" readingOrder="0"/>
    </xf>
    <xf borderId="5" fillId="0" fontId="5" numFmtId="0" xfId="0" applyBorder="1" applyFont="1"/>
    <xf borderId="4" fillId="4" fontId="1" numFmtId="0" xfId="0" applyAlignment="1" applyBorder="1" applyFont="1">
      <alignment horizontal="center" readingOrder="0"/>
    </xf>
    <xf borderId="4" fillId="4" fontId="7" numFmtId="0" xfId="0" applyAlignment="1" applyBorder="1" applyFont="1">
      <alignment horizontal="center" readingOrder="0"/>
    </xf>
    <xf borderId="6" fillId="4" fontId="7" numFmtId="0" xfId="0" applyAlignment="1" applyBorder="1" applyFont="1">
      <alignment horizontal="center" readingOrder="0"/>
    </xf>
    <xf borderId="8" fillId="0" fontId="5" numFmtId="0" xfId="0" applyBorder="1" applyFont="1"/>
    <xf borderId="7" fillId="0" fontId="5" numFmtId="0" xfId="0" applyBorder="1" applyFont="1"/>
    <xf borderId="6" fillId="2" fontId="1" numFmtId="0" xfId="0" applyBorder="1" applyFont="1"/>
    <xf borderId="8" fillId="2" fontId="1" numFmtId="0" xfId="0" applyBorder="1" applyFont="1"/>
    <xf borderId="7" fillId="2" fontId="1" numFmtId="0" xfId="0" applyBorder="1" applyFont="1"/>
    <xf borderId="9" fillId="5" fontId="8" numFmtId="166" xfId="0" applyAlignment="1" applyBorder="1" applyFill="1" applyFont="1" applyNumberFormat="1">
      <alignment horizontal="center" readingOrder="0" vertical="center"/>
    </xf>
    <xf borderId="9" fillId="5" fontId="8" numFmtId="0" xfId="0" applyAlignment="1" applyBorder="1" applyFont="1">
      <alignment readingOrder="0"/>
    </xf>
    <xf borderId="10" fillId="6" fontId="1" numFmtId="166" xfId="0" applyAlignment="1" applyBorder="1" applyFill="1" applyFont="1" applyNumberFormat="1">
      <alignment horizontal="center" readingOrder="0" vertical="center"/>
    </xf>
    <xf borderId="5" fillId="4" fontId="1" numFmtId="0" xfId="0" applyAlignment="1" applyBorder="1" applyFont="1">
      <alignment horizontal="center" readingOrder="0" shrinkToFit="0" vertical="center" wrapText="1"/>
    </xf>
    <xf borderId="5" fillId="4" fontId="9" numFmtId="0" xfId="0" applyAlignment="1" applyBorder="1" applyFont="1">
      <alignment horizontal="center" readingOrder="0" shrinkToFit="0" vertical="center" wrapText="1"/>
    </xf>
    <xf borderId="5" fillId="6" fontId="1" numFmtId="166" xfId="0" applyAlignment="1" applyBorder="1" applyFont="1" applyNumberFormat="1">
      <alignment horizontal="center" readingOrder="0" vertical="center"/>
    </xf>
    <xf borderId="5" fillId="7" fontId="1" numFmtId="0" xfId="0" applyAlignment="1" applyBorder="1" applyFill="1" applyFont="1">
      <alignment horizontal="center" readingOrder="0" vertical="center"/>
    </xf>
    <xf borderId="5" fillId="7" fontId="1" numFmtId="0" xfId="0" applyAlignment="1" applyBorder="1" applyFont="1">
      <alignment horizontal="center" readingOrder="0" shrinkToFit="0" vertical="center" wrapText="1"/>
    </xf>
    <xf borderId="5" fillId="3" fontId="1" numFmtId="166" xfId="0" applyAlignment="1" applyBorder="1" applyFont="1" applyNumberFormat="1">
      <alignment horizontal="center" readingOrder="0"/>
    </xf>
    <xf borderId="5" fillId="8" fontId="1" numFmtId="0" xfId="0" applyAlignment="1" applyBorder="1" applyFill="1" applyFont="1">
      <alignment horizontal="center" readingOrder="0" vertical="center"/>
    </xf>
    <xf borderId="5" fillId="8" fontId="1" numFmtId="0" xfId="0" applyAlignment="1" applyBorder="1" applyFont="1">
      <alignment horizontal="center" readingOrder="0" shrinkToFit="0" vertical="center" wrapText="1"/>
    </xf>
    <xf borderId="5" fillId="9" fontId="1" numFmtId="0" xfId="0" applyAlignment="1" applyBorder="1" applyFill="1" applyFont="1">
      <alignment horizontal="center" readingOrder="0" vertical="center"/>
    </xf>
    <xf borderId="5" fillId="9" fontId="10" numFmtId="0" xfId="0" applyAlignment="1" applyBorder="1" applyFont="1">
      <alignment horizontal="center" readingOrder="0" vertical="center"/>
    </xf>
    <xf borderId="5" fillId="8" fontId="1" numFmtId="0" xfId="0" applyAlignment="1" applyBorder="1" applyFont="1">
      <alignment horizontal="center" vertical="center"/>
    </xf>
    <xf borderId="5" fillId="9" fontId="11" numFmtId="0" xfId="0" applyAlignment="1" applyBorder="1" applyFont="1">
      <alignment horizontal="center" readingOrder="0" shrinkToFit="0" vertical="center" wrapText="1"/>
    </xf>
    <xf borderId="5" fillId="4" fontId="1" numFmtId="0" xfId="0" applyAlignment="1" applyBorder="1" applyFont="1">
      <alignment horizontal="center" readingOrder="0" vertical="center"/>
    </xf>
    <xf borderId="5" fillId="4" fontId="1" numFmtId="0" xfId="0" applyAlignment="1" applyBorder="1" applyFon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10" fontId="12" numFmtId="0" xfId="0" applyAlignment="1" applyFill="1" applyFont="1">
      <alignment readingOrder="0"/>
    </xf>
    <xf borderId="0" fillId="11" fontId="12" numFmtId="0" xfId="0" applyAlignment="1" applyFill="1" applyFont="1">
      <alignment readingOrder="0"/>
    </xf>
    <xf borderId="0" fillId="9" fontId="1" numFmtId="0" xfId="0" applyAlignment="1" applyFont="1">
      <alignment readingOrder="0"/>
    </xf>
    <xf borderId="9" fillId="3" fontId="12" numFmtId="0" xfId="0" applyAlignment="1" applyBorder="1" applyFont="1">
      <alignment readingOrder="0"/>
    </xf>
    <xf borderId="11" fillId="3" fontId="12" numFmtId="0" xfId="0" applyAlignment="1" applyBorder="1" applyFont="1">
      <alignment readingOrder="0"/>
    </xf>
    <xf borderId="9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 vertical="top"/>
    </xf>
    <xf borderId="11" fillId="0" fontId="1" numFmtId="0" xfId="0" applyAlignment="1" applyBorder="1" applyFont="1">
      <alignment readingOrder="0" vertical="center"/>
    </xf>
    <xf borderId="9" fillId="0" fontId="1" numFmtId="0" xfId="0" applyAlignment="1" applyBorder="1" applyFont="1">
      <alignment readingOrder="0"/>
    </xf>
    <xf borderId="9" fillId="12" fontId="1" numFmtId="0" xfId="0" applyAlignment="1" applyBorder="1" applyFill="1" applyFont="1">
      <alignment horizontal="center" readingOrder="0" vertical="center"/>
    </xf>
    <xf borderId="11" fillId="0" fontId="13" numFmtId="0" xfId="0" applyAlignment="1" applyBorder="1" applyFont="1">
      <alignment readingOrder="0" vertical="top"/>
    </xf>
    <xf borderId="9" fillId="0" fontId="1" numFmtId="0" xfId="0" applyBorder="1" applyFont="1"/>
    <xf borderId="11" fillId="0" fontId="1" numFmtId="0" xfId="0" applyAlignment="1" applyBorder="1" applyFont="1">
      <alignment readingOrder="0" shrinkToFit="0" vertical="top" wrapText="1"/>
    </xf>
    <xf borderId="9" fillId="0" fontId="1" numFmtId="0" xfId="0" applyAlignment="1" applyBorder="1" applyFont="1">
      <alignment readingOrder="0" shrinkToFit="0" wrapText="1"/>
    </xf>
    <xf borderId="9" fillId="11" fontId="1" numFmtId="0" xfId="0" applyAlignment="1" applyBorder="1" applyFont="1">
      <alignment horizontal="center" readingOrder="0" vertical="center"/>
    </xf>
    <xf borderId="11" fillId="0" fontId="14" numFmtId="0" xfId="0" applyAlignment="1" applyBorder="1" applyFont="1">
      <alignment readingOrder="0" shrinkToFit="0" vertical="top" wrapText="1"/>
    </xf>
    <xf borderId="11" fillId="0" fontId="1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readingOrder="0" shrinkToFit="0" vertical="top" wrapText="1"/>
    </xf>
    <xf borderId="11" fillId="0" fontId="1" numFmtId="0" xfId="0" applyAlignment="1" applyBorder="1" applyFont="1">
      <alignment readingOrder="0" vertical="top"/>
    </xf>
    <xf borderId="9" fillId="0" fontId="1" numFmtId="0" xfId="0" applyAlignment="1" applyBorder="1" applyFont="1">
      <alignment readingOrder="0" shrinkToFit="0" vertical="top" wrapText="1"/>
    </xf>
    <xf borderId="9" fillId="13" fontId="1" numFmtId="0" xfId="0" applyAlignment="1" applyBorder="1" applyFill="1" applyFont="1">
      <alignment horizontal="center" readingOrder="0" vertical="center"/>
    </xf>
    <xf borderId="9" fillId="14" fontId="1" numFmtId="0" xfId="0" applyAlignment="1" applyBorder="1" applyFill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9" fillId="0" fontId="15" numFmtId="0" xfId="0" applyAlignment="1" applyBorder="1" applyFont="1">
      <alignment readingOrder="0" shrinkToFit="0" vertical="top" wrapText="1"/>
    </xf>
    <xf borderId="9" fillId="0" fontId="1" numFmtId="0" xfId="0" applyAlignment="1" applyBorder="1" applyFont="1">
      <alignment horizontal="center" readingOrder="0" shrinkToFit="0" wrapText="1"/>
    </xf>
    <xf borderId="9" fillId="0" fontId="1" numFmtId="0" xfId="0" applyAlignment="1" applyBorder="1" applyFont="1">
      <alignment readingOrder="0" vertical="top"/>
    </xf>
    <xf borderId="9" fillId="0" fontId="1" numFmtId="0" xfId="0" applyAlignment="1" applyBorder="1" applyFont="1">
      <alignment horizontal="left" readingOrder="0" vertical="top"/>
    </xf>
    <xf borderId="5" fillId="3" fontId="1" numFmtId="0" xfId="0" applyAlignment="1" applyBorder="1" applyFont="1">
      <alignment readingOrder="0"/>
    </xf>
    <xf borderId="9" fillId="15" fontId="12" numFmtId="0" xfId="0" applyAlignment="1" applyBorder="1" applyFill="1" applyFont="1">
      <alignment horizontal="center" readingOrder="0" shrinkToFit="0" vertical="center" wrapText="1"/>
    </xf>
    <xf borderId="11" fillId="15" fontId="16" numFmtId="0" xfId="0" applyAlignment="1" applyBorder="1" applyFont="1">
      <alignment readingOrder="0"/>
    </xf>
    <xf borderId="9" fillId="15" fontId="1" numFmtId="0" xfId="0" applyAlignment="1" applyBorder="1" applyFont="1">
      <alignment horizontal="center" readingOrder="0" vertical="center"/>
    </xf>
    <xf borderId="11" fillId="15" fontId="1" numFmtId="0" xfId="0" applyAlignment="1" applyBorder="1" applyFont="1">
      <alignment readingOrder="0" shrinkToFit="0" vertical="center" wrapText="1"/>
    </xf>
    <xf borderId="11" fillId="15" fontId="1" numFmtId="0" xfId="0" applyAlignment="1" applyBorder="1" applyFont="1">
      <alignment readingOrder="0" vertical="center"/>
    </xf>
    <xf borderId="9" fillId="15" fontId="1" numFmtId="0" xfId="0" applyAlignment="1" applyBorder="1" applyFont="1">
      <alignment readingOrder="0" vertical="center"/>
    </xf>
    <xf borderId="9" fillId="9" fontId="12" numFmtId="0" xfId="0" applyAlignment="1" applyBorder="1" applyFont="1">
      <alignment horizontal="center" readingOrder="0" shrinkToFit="0" vertical="center" wrapText="1"/>
    </xf>
    <xf borderId="11" fillId="9" fontId="17" numFmtId="0" xfId="0" applyAlignment="1" applyBorder="1" applyFont="1">
      <alignment readingOrder="0"/>
    </xf>
    <xf borderId="9" fillId="9" fontId="1" numFmtId="0" xfId="0" applyAlignment="1" applyBorder="1" applyFont="1">
      <alignment horizontal="center" readingOrder="0" vertical="center"/>
    </xf>
    <xf borderId="11" fillId="9" fontId="1" numFmtId="0" xfId="0" applyAlignment="1" applyBorder="1" applyFont="1">
      <alignment readingOrder="0" shrinkToFit="0" vertical="center" wrapText="1"/>
    </xf>
    <xf borderId="11" fillId="9" fontId="1" numFmtId="0" xfId="0" applyAlignment="1" applyBorder="1" applyFont="1">
      <alignment readingOrder="0" vertical="center"/>
    </xf>
    <xf borderId="9" fillId="9" fontId="1" numFmtId="0" xfId="0" applyAlignment="1" applyBorder="1" applyFont="1">
      <alignment readingOrder="0" vertical="center"/>
    </xf>
    <xf borderId="9" fillId="8" fontId="12" numFmtId="0" xfId="0" applyAlignment="1" applyBorder="1" applyFont="1">
      <alignment horizontal="center" readingOrder="0" shrinkToFit="0" vertical="center" wrapText="1"/>
    </xf>
    <xf borderId="11" fillId="8" fontId="18" numFmtId="0" xfId="0" applyAlignment="1" applyBorder="1" applyFont="1">
      <alignment readingOrder="0"/>
    </xf>
    <xf borderId="9" fillId="8" fontId="1" numFmtId="0" xfId="0" applyAlignment="1" applyBorder="1" applyFont="1">
      <alignment horizontal="center" readingOrder="0" vertical="center"/>
    </xf>
    <xf borderId="11" fillId="8" fontId="1" numFmtId="0" xfId="0" applyAlignment="1" applyBorder="1" applyFont="1">
      <alignment readingOrder="0" shrinkToFit="0" vertical="center" wrapText="1"/>
    </xf>
    <xf borderId="11" fillId="8" fontId="1" numFmtId="0" xfId="0" applyAlignment="1" applyBorder="1" applyFont="1">
      <alignment readingOrder="0" vertical="center"/>
    </xf>
    <xf borderId="9" fillId="8" fontId="1" numFmtId="0" xfId="0" applyAlignment="1" applyBorder="1" applyFont="1">
      <alignment readingOrder="0" vertical="center"/>
    </xf>
    <xf borderId="9" fillId="12" fontId="12" numFmtId="0" xfId="0" applyAlignment="1" applyBorder="1" applyFont="1">
      <alignment horizontal="center" readingOrder="0" shrinkToFit="0" vertical="center" wrapText="1"/>
    </xf>
    <xf borderId="11" fillId="12" fontId="19" numFmtId="0" xfId="0" applyAlignment="1" applyBorder="1" applyFont="1">
      <alignment readingOrder="0"/>
    </xf>
    <xf borderId="11" fillId="12" fontId="1" numFmtId="0" xfId="0" applyAlignment="1" applyBorder="1" applyFont="1">
      <alignment readingOrder="0" shrinkToFit="0" vertical="center" wrapText="1"/>
    </xf>
    <xf borderId="11" fillId="12" fontId="1" numFmtId="0" xfId="0" applyAlignment="1" applyBorder="1" applyFont="1">
      <alignment readingOrder="0" vertical="center"/>
    </xf>
    <xf borderId="9" fillId="12" fontId="1" numFmtId="0" xfId="0" applyAlignment="1" applyBorder="1" applyFont="1">
      <alignment readingOrder="0" vertical="center"/>
    </xf>
    <xf borderId="9" fillId="16" fontId="12" numFmtId="0" xfId="0" applyAlignment="1" applyBorder="1" applyFill="1" applyFont="1">
      <alignment horizontal="center" readingOrder="0" shrinkToFit="0" vertical="center" wrapText="1"/>
    </xf>
    <xf borderId="11" fillId="16" fontId="20" numFmtId="0" xfId="0" applyAlignment="1" applyBorder="1" applyFont="1">
      <alignment readingOrder="0"/>
    </xf>
    <xf borderId="9" fillId="16" fontId="1" numFmtId="0" xfId="0" applyAlignment="1" applyBorder="1" applyFont="1">
      <alignment horizontal="center" readingOrder="0" vertical="center"/>
    </xf>
    <xf borderId="11" fillId="16" fontId="1" numFmtId="0" xfId="0" applyAlignment="1" applyBorder="1" applyFont="1">
      <alignment readingOrder="0" shrinkToFit="0" vertical="center" wrapText="1"/>
    </xf>
    <xf borderId="11" fillId="16" fontId="1" numFmtId="0" xfId="0" applyAlignment="1" applyBorder="1" applyFont="1">
      <alignment readingOrder="0" vertical="center"/>
    </xf>
    <xf borderId="9" fillId="16" fontId="1" numFmtId="0" xfId="0" applyAlignment="1" applyBorder="1" applyFont="1">
      <alignment readingOrder="0" vertical="center"/>
    </xf>
    <xf borderId="9" fillId="4" fontId="12" numFmtId="0" xfId="0" applyAlignment="1" applyBorder="1" applyFont="1">
      <alignment horizontal="center" readingOrder="0" shrinkToFit="0" vertical="center" wrapText="1"/>
    </xf>
    <xf borderId="11" fillId="4" fontId="21" numFmtId="0" xfId="0" applyAlignment="1" applyBorder="1" applyFont="1">
      <alignment readingOrder="0"/>
    </xf>
    <xf borderId="9" fillId="4" fontId="1" numFmtId="0" xfId="0" applyAlignment="1" applyBorder="1" applyFont="1">
      <alignment horizontal="center" readingOrder="0" vertical="center"/>
    </xf>
    <xf borderId="11" fillId="4" fontId="1" numFmtId="0" xfId="0" applyAlignment="1" applyBorder="1" applyFont="1">
      <alignment readingOrder="0" shrinkToFit="0" vertical="center" wrapText="1"/>
    </xf>
    <xf borderId="11" fillId="4" fontId="1" numFmtId="0" xfId="0" applyAlignment="1" applyBorder="1" applyFont="1">
      <alignment readingOrder="0" vertical="center"/>
    </xf>
    <xf borderId="9" fillId="4" fontId="1" numFmtId="0" xfId="0" applyAlignment="1" applyBorder="1" applyFont="1">
      <alignment readingOrder="0" vertical="center"/>
    </xf>
    <xf borderId="9" fillId="17" fontId="12" numFmtId="0" xfId="0" applyAlignment="1" applyBorder="1" applyFill="1" applyFont="1">
      <alignment horizontal="center" readingOrder="0" shrinkToFit="0" vertical="center" wrapText="1"/>
    </xf>
    <xf borderId="11" fillId="17" fontId="22" numFmtId="0" xfId="0" applyAlignment="1" applyBorder="1" applyFont="1">
      <alignment readingOrder="0"/>
    </xf>
    <xf borderId="9" fillId="17" fontId="1" numFmtId="0" xfId="0" applyAlignment="1" applyBorder="1" applyFont="1">
      <alignment horizontal="center" readingOrder="0" vertical="center"/>
    </xf>
    <xf borderId="11" fillId="17" fontId="1" numFmtId="0" xfId="0" applyAlignment="1" applyBorder="1" applyFont="1">
      <alignment readingOrder="0" shrinkToFit="0" vertical="center" wrapText="1"/>
    </xf>
    <xf borderId="11" fillId="17" fontId="1" numFmtId="0" xfId="0" applyAlignment="1" applyBorder="1" applyFont="1">
      <alignment readingOrder="0" vertical="center"/>
    </xf>
    <xf borderId="9" fillId="17" fontId="1" numFmtId="0" xfId="0" applyAlignment="1" applyBorder="1" applyFont="1">
      <alignment readingOrder="0" vertical="center"/>
    </xf>
    <xf borderId="11" fillId="4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7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9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1" numFmtId="167" xfId="0" applyAlignment="1" applyFont="1" applyNumberFormat="1">
      <alignment shrinkToFit="0" vertical="center" wrapText="0"/>
    </xf>
    <xf borderId="0" fillId="17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4" fontId="1" numFmtId="0" xfId="0" applyAlignment="1" applyFont="1">
      <alignment readingOrder="0"/>
    </xf>
    <xf borderId="0" fillId="8" fontId="1" numFmtId="0" xfId="0" applyAlignment="1" applyFont="1">
      <alignment readingOrder="0"/>
    </xf>
    <xf borderId="0" fillId="7" fontId="1" numFmtId="0" xfId="0" applyAlignment="1" applyFont="1">
      <alignment readingOrder="0" shrinkToFit="0" vertical="center" wrapText="0"/>
    </xf>
    <xf borderId="0" fillId="18" fontId="1" numFmtId="0" xfId="0" applyAlignment="1" applyFill="1" applyFont="1">
      <alignment readingOrder="0"/>
    </xf>
    <xf borderId="0" fillId="0" fontId="1" numFmtId="0" xfId="0" applyFont="1"/>
    <xf borderId="0" fillId="15" fontId="1" numFmtId="0" xfId="0" applyAlignment="1" applyFont="1">
      <alignment readingOrder="0"/>
    </xf>
    <xf borderId="0" fillId="13" fontId="1" numFmtId="0" xfId="0" applyAlignment="1" applyFont="1">
      <alignment readingOrder="0"/>
    </xf>
    <xf borderId="0" fillId="10" fontId="1" numFmtId="0" xfId="0" applyAlignment="1" applyFont="1">
      <alignment readingOrder="0"/>
    </xf>
    <xf borderId="0" fillId="17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8" fontId="1" numFmtId="0" xfId="0" applyAlignment="1" applyFont="1">
      <alignment readingOrder="0" shrinkToFit="0" vertical="center" wrapText="0"/>
    </xf>
    <xf borderId="0" fillId="18" fontId="1" numFmtId="0" xfId="0" applyAlignment="1" applyFont="1">
      <alignment readingOrder="0" shrinkToFit="0" vertical="center" wrapText="0"/>
    </xf>
    <xf borderId="0" fillId="15" fontId="1" numFmtId="0" xfId="0" applyAlignment="1" applyFont="1">
      <alignment readingOrder="0" shrinkToFit="0" vertical="center" wrapText="0"/>
    </xf>
    <xf borderId="0" fillId="13" fontId="1" numFmtId="0" xfId="0" applyAlignment="1" applyFont="1">
      <alignment readingOrder="0" shrinkToFit="0" vertical="center" wrapText="0"/>
    </xf>
    <xf borderId="0" fillId="10" fontId="1" numFmtId="0" xfId="0" applyAlignment="1" applyFont="1">
      <alignment readingOrder="0" shrinkToFit="0" vertical="center" wrapText="0"/>
    </xf>
    <xf borderId="0" fillId="19" fontId="23" numFmtId="0" xfId="0" applyAlignment="1" applyFill="1" applyFont="1">
      <alignment readingOrder="0" shrinkToFit="0" vertical="center" wrapText="0"/>
    </xf>
    <xf borderId="0" fillId="19" fontId="23" numFmtId="167" xfId="0" applyAlignment="1" applyFont="1" applyNumberFormat="1">
      <alignment shrinkToFit="0" vertical="center" wrapText="0"/>
    </xf>
    <xf borderId="0" fillId="19" fontId="23" numFmtId="1" xfId="0" applyAlignment="1" applyFont="1" applyNumberFormat="1">
      <alignment shrinkToFit="0" vertical="center" wrapText="0"/>
    </xf>
    <xf borderId="0" fillId="0" fontId="1" numFmtId="0" xfId="0" applyFont="1"/>
    <xf borderId="0" fillId="20" fontId="24" numFmtId="0" xfId="0" applyAlignment="1" applyFill="1" applyFont="1">
      <alignment readingOrder="0"/>
    </xf>
    <xf borderId="0" fillId="20" fontId="1" numFmtId="0" xfId="0" applyAlignment="1" applyFont="1">
      <alignment readingOrder="0"/>
    </xf>
    <xf borderId="0" fillId="0" fontId="1" numFmtId="168" xfId="0" applyFont="1" applyNumberFormat="1"/>
    <xf borderId="0" fillId="0" fontId="1" numFmtId="167" xfId="0" applyFont="1" applyNumberFormat="1"/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2" fillId="0" fontId="25" numFmtId="0" xfId="0" applyAlignment="1" applyBorder="1" applyFont="1">
      <alignment horizontal="center" readingOrder="0"/>
    </xf>
    <xf borderId="13" fillId="0" fontId="25" numFmtId="0" xfId="0" applyAlignment="1" applyBorder="1" applyFont="1">
      <alignment horizontal="center" readingOrder="0"/>
    </xf>
    <xf borderId="14" fillId="0" fontId="25" numFmtId="0" xfId="0" applyAlignment="1" applyBorder="1" applyFont="1">
      <alignment horizontal="center" readingOrder="0"/>
    </xf>
    <xf borderId="15" fillId="0" fontId="1" numFmtId="168" xfId="0" applyAlignment="1" applyBorder="1" applyFont="1" applyNumberFormat="1">
      <alignment readingOrder="0"/>
    </xf>
    <xf borderId="16" fillId="0" fontId="1" numFmtId="0" xfId="0" applyAlignment="1" applyBorder="1" applyFont="1">
      <alignment readingOrder="0"/>
    </xf>
    <xf borderId="16" fillId="0" fontId="1" numFmtId="0" xfId="0" applyBorder="1" applyFont="1"/>
    <xf borderId="17" fillId="0" fontId="1" numFmtId="0" xfId="0" applyAlignment="1" applyBorder="1" applyFont="1">
      <alignment readingOrder="0"/>
    </xf>
    <xf borderId="0" fillId="21" fontId="1" numFmtId="0" xfId="0" applyAlignment="1" applyFill="1" applyFont="1">
      <alignment horizontal="center" readingOrder="0" vertical="center"/>
    </xf>
    <xf borderId="0" fillId="0" fontId="1" numFmtId="4" xfId="0" applyAlignment="1" applyFont="1" applyNumberFormat="1">
      <alignment horizontal="center"/>
    </xf>
    <xf borderId="0" fillId="16" fontId="1" numFmtId="0" xfId="0" applyAlignment="1" applyFont="1">
      <alignment horizontal="center" readingOrder="0"/>
    </xf>
    <xf borderId="0" fillId="16" fontId="1" numFmtId="0" xfId="0" applyAlignment="1" applyFont="1">
      <alignment horizontal="center" readingOrder="0" shrinkToFit="0" wrapText="1"/>
    </xf>
    <xf borderId="0" fillId="11" fontId="1" numFmtId="0" xfId="0" applyAlignment="1" applyFont="1">
      <alignment horizontal="center" readingOrder="0"/>
    </xf>
    <xf borderId="0" fillId="9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8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168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5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5" fontId="1" numFmtId="0" xfId="0" applyAlignment="1" applyFont="1">
      <alignment readingOrder="0"/>
    </xf>
    <xf borderId="0" fillId="0" fontId="1" numFmtId="0" xfId="0" applyAlignment="1" applyFont="1">
      <alignment readingOrder="0" shrinkToFit="0" textRotation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26" numFmtId="0" xfId="0" applyAlignment="1" applyFont="1">
      <alignment readingOrder="0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7">
    <tableStyle count="4" pivot="0" name="Order 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der Summary-style 2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Order List Table-style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3" pivot="0" name="Detail6-Trang-Pham-style">
      <tableStyleElement dxfId="11" type="headerRow"/>
      <tableStyleElement dxfId="12" type="firstRowStripe"/>
      <tableStyleElement dxfId="2" type="secondRowStripe"/>
    </tableStyle>
    <tableStyle count="3" pivot="0" name="Detail5-Trang-Pham-style">
      <tableStyleElement dxfId="11" type="headerRow"/>
      <tableStyleElement dxfId="12" type="firstRowStripe"/>
      <tableStyleElement dxfId="2" type="secondRowStripe"/>
    </tableStyle>
    <tableStyle count="4" pivot="0" name="TMVSA Survey Statistics-style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Confirmation Results-style">
      <tableStyleElement dxfId="13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pivotCacheDefinition" Target="pivotCache/pivotCacheDefinition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 Options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0C343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'Order Summary'!$A$3:$A$29</c:f>
            </c:strRef>
          </c:cat>
          <c:val>
            <c:numRef>
              <c:f>'Order Summary'!$C$3:$C$29</c:f>
              <c:numCache/>
            </c:numRef>
          </c:val>
        </c:ser>
        <c:axId val="1850797941"/>
        <c:axId val="1330700299"/>
      </c:barChart>
      <c:catAx>
        <c:axId val="18507979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 rot="-5400000"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</a:p>
        </c:txPr>
        <c:crossAx val="1330700299"/>
      </c:catAx>
      <c:valAx>
        <c:axId val="1330700299"/>
        <c:scaling>
          <c:orientation val="minMax"/>
          <c:max val="5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850797941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Average Activity Preferences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'TMVSA Survey Statistics'!$K$4</c:f>
            </c:strRef>
          </c:tx>
          <c:dPt>
            <c:idx val="0"/>
            <c:explosion val="0"/>
            <c:spPr>
              <a:solidFill>
                <a:srgbClr val="C9DAF8"/>
              </a:solidFill>
            </c:spPr>
          </c:dPt>
          <c:dPt>
            <c:idx val="1"/>
            <c:explosion val="0"/>
            <c:spPr>
              <a:solidFill>
                <a:srgbClr val="D9EAD3"/>
              </a:solidFill>
            </c:spPr>
          </c:dPt>
          <c:dPt>
            <c:idx val="2"/>
            <c:explosion val="0"/>
            <c:spPr>
              <a:solidFill>
                <a:srgbClr val="E6B8AF"/>
              </a:solidFill>
            </c:spPr>
          </c:dPt>
          <c:dPt>
            <c:idx val="3"/>
            <c:explosion val="0"/>
            <c:spPr>
              <a:solidFill>
                <a:srgbClr val="EAD1D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'TMVSA Survey Statistics'!$J$5:$J$8</c:f>
            </c:strRef>
          </c:cat>
          <c:val>
            <c:numRef>
              <c:f>'TMVSA Survey Statistics'!$K$5:$K$8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4</xdr:row>
      <xdr:rowOff>0</xdr:rowOff>
    </xdr:from>
    <xdr:ext cx="400050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31</xdr:row>
      <xdr:rowOff>9525</xdr:rowOff>
    </xdr:from>
    <xdr:ext cx="12630150" cy="4410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1438275</xdr:colOff>
      <xdr:row>9</xdr:row>
      <xdr:rowOff>0</xdr:rowOff>
    </xdr:from>
    <xdr:ext cx="5715000" cy="3600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1438275</xdr:colOff>
      <xdr:row>26</xdr:row>
      <xdr:rowOff>0</xdr:rowOff>
    </xdr:from>
    <xdr:ext cx="5715000" cy="3533775"/>
    <xdr:pic>
      <xdr:nvPicPr>
        <xdr:cNvPr id="81955492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G12" sheet="Order List Table"/>
  </cacheSource>
  <cacheFields>
    <cacheField name="Timestamp" numFmtId="168">
      <sharedItems containsSemiMixedTypes="0" containsDate="1" containsString="0">
        <d v="2025-03-17T12:24:33Z"/>
        <d v="2025-03-17T20:15:53Z"/>
        <d v="2025-03-17T22:32:50Z"/>
        <d v="2025-03-18T15:47:31Z"/>
        <d v="2025-03-18T15:51:41Z"/>
        <d v="2025-03-18T16:08:56Z"/>
        <d v="2025-03-18T16:17:22Z"/>
        <d v="2025-03-18T16:24:10Z"/>
        <d v="2025-03-18T19:05:55Z"/>
        <d v="2025-03-18T21:52:22Z"/>
        <d v="2025-03-19T01:07:15Z"/>
      </sharedItems>
    </cacheField>
    <cacheField name="Email address" numFmtId="0">
      <sharedItems>
        <s v="alex.kieu@torontomu.ca"/>
        <s v="denis.thai@torontomu.ca"/>
        <s v="huyentrang.pham@torontomu.ca"/>
        <s v="khanh.su@torontomu.ca"/>
        <s v="my.vu@torontomu.ca"/>
        <s v="britney.phung@torontomu.ca"/>
        <s v="teresa.van@torontomu.ca"/>
        <s v="k1bui@torontomu.ca"/>
        <s v="presly.trinh@torontomu.ca"/>
        <s v="ngocthienbao.le@torontomu.ca"/>
        <s v="Khuonghoang.tran@torontomu.ca"/>
      </sharedItems>
    </cacheField>
    <cacheField name="First Name:" numFmtId="0">
      <sharedItems>
        <s v="Alex"/>
        <s v="Denis"/>
        <s v="Trang"/>
        <s v="Khanh"/>
        <s v="Ivy"/>
        <s v="Britney"/>
        <s v="Teresa"/>
        <s v="Kathy"/>
        <s v="Presly"/>
        <s v="Bao"/>
        <s v="Khuong Hoang"/>
      </sharedItems>
    </cacheField>
    <cacheField name="Last Name:" numFmtId="0">
      <sharedItems>
        <s v="Kieu"/>
        <s v="Thai"/>
        <s v="Pham"/>
        <s v="Su"/>
        <s v="Vu"/>
        <s v="Phung"/>
        <s v="Van"/>
        <s v="Bui"/>
        <s v="Trinh"/>
        <s v="Le"/>
        <s v="Tran"/>
      </sharedItems>
    </cacheField>
    <cacheField name="Is there anything we should know about? (i.e. allergies)&#10;Mình có lưu ý gì đặc biệt hong? (dị ứng,...)" numFmtId="0">
      <sharedItems containsBlank="1">
        <m/>
        <s v="NO I EAT EVERYTHING!!!"/>
        <s v="nuts allergies"/>
        <s v="Nope"/>
        <s v="no"/>
        <s v="No allergies!!"/>
        <s v="dị ứng với người không iu mình 🥰"/>
        <s v="ko"/>
      </sharedItems>
    </cacheField>
    <cacheField name="Caesar Salad | $7.99" numFmtId="0">
      <sharedItems containsString="0" containsBlank="1">
        <m/>
      </sharedItems>
    </cacheField>
    <cacheField name="Bocconcini Salad | $12.99" numFmtId="0">
      <sharedItems containsString="0" containsBlank="1">
        <m/>
      </sharedItems>
    </cacheField>
    <cacheField name="Ehwa Mini Salad | $7.99" numFmtId="0">
      <sharedItems containsBlank="1">
        <m/>
        <s v="Order"/>
      </sharedItems>
    </cacheField>
    <cacheField name="Ttukbaegi Pasta | $23.99" numFmtId="0">
      <sharedItems containsString="0" containsBlank="1">
        <m/>
      </sharedItems>
    </cacheField>
    <cacheField name="Ehwa Clam Pasta | $20.99" numFmtId="0">
      <sharedItems containsString="0" containsBlank="1">
        <m/>
      </sharedItems>
    </cacheField>
    <cacheField name="Pork Belly Chilli Cream Pasta | $20.99" numFmtId="0">
      <sharedItems containsBlank="1">
        <m/>
        <s v="Order"/>
      </sharedItems>
    </cacheField>
    <cacheField name="Polack Roe Pasta | $20.99" numFmtId="0">
      <sharedItems containsString="0" containsBlank="1">
        <m/>
      </sharedItems>
    </cacheField>
    <cacheField name="Ehwa Tonkatsu | $18.99" numFmtId="0">
      <sharedItems containsBlank="1">
        <m/>
        <s v="Order"/>
      </sharedItems>
    </cacheField>
    <cacheField name="Cheese Tonkatsu | $21.99" numFmtId="0">
      <sharedItems containsString="0" containsBlank="1">
        <m/>
      </sharedItems>
    </cacheField>
    <cacheField name="Spicy Cream Tonkatsu | $22.99" numFmtId="0">
      <sharedItems containsString="0" containsBlank="1">
        <m/>
      </sharedItems>
    </cacheField>
    <cacheField name="Fish Katsu | $22.99" numFmtId="0">
      <sharedItems containsString="0" containsBlank="1">
        <m/>
      </sharedItems>
    </cacheField>
    <cacheField name="Ehwa Hamburg Steak | $21.99" numFmtId="0">
      <sharedItems containsBlank="1">
        <m/>
        <s v="Order"/>
      </sharedItems>
    </cacheField>
    <cacheField name="Chilli Cream Hamburg Steak | $21.99" numFmtId="0">
      <sharedItems containsString="0" containsBlank="1">
        <m/>
      </sharedItems>
    </cacheField>
    <cacheField name="Ehwa Jeong-Sik | $24.99" numFmtId="0">
      <sharedItems containsString="0" containsBlank="1">
        <m/>
      </sharedItems>
    </cacheField>
    <cacheField name="Spicy Pork | $19.99" numFmtId="0">
      <sharedItems containsString="0" containsBlank="1">
        <m/>
      </sharedItems>
    </cacheField>
    <cacheField name="Pork Belly | $19.99" numFmtId="0">
      <sharedItems containsString="0" containsBlank="1">
        <m/>
      </sharedItems>
    </cacheField>
    <cacheField name="Bulgogi | $19.99" numFmtId="0">
      <sharedItems containsBlank="1">
        <s v="Order"/>
        <m/>
      </sharedItems>
    </cacheField>
    <cacheField name="Original | $17.99" numFmtId="0">
      <sharedItems containsString="0" containsBlank="1">
        <m/>
      </sharedItems>
    </cacheField>
    <cacheField name="Humburg Steak | $22.99" numFmtId="0">
      <sharedItems containsBlank="1">
        <m/>
        <s v="Order"/>
      </sharedItems>
    </cacheField>
    <cacheField name="Tonkatsu | $20.99" numFmtId="0">
      <sharedItems containsBlank="1">
        <m/>
        <s v="Order"/>
      </sharedItems>
    </cacheField>
    <cacheField name="Sausage | $19.99" numFmtId="0">
      <sharedItems containsBlank="1">
        <m/>
        <s v="Order"/>
      </sharedItems>
    </cacheField>
    <cacheField name="Army Soup | $19.99" numFmtId="0">
      <sharedItems containsBlank="1">
        <m/>
        <s v="Order"/>
      </sharedItems>
    </cacheField>
    <cacheField name="Soon Tofu Soup | $19.99" numFmtId="0">
      <sharedItems containsString="0" containsBlank="1">
        <m/>
      </sharedItems>
    </cacheField>
    <cacheField name="Braised Spicy Pork Rib | $23.99" numFmtId="0">
      <sharedItems containsString="0" containsBlank="1">
        <m/>
      </sharedItems>
    </cacheField>
    <cacheField name="Yukhoe Bibimbap | $18.99" numFmtId="0">
      <sharedItems containsBlank="1">
        <m/>
        <s v="Order"/>
      </sharedItems>
    </cacheField>
    <cacheField name="Injeolmi Honey Pizza | $16.99" numFmtId="0">
      <sharedItems containsString="0" containsBlank="1">
        <m/>
      </sharedItems>
    </cacheField>
    <cacheField name="Lunch Box | $xx.xx" numFmtId="0">
      <sharedItems containsString="0" containsBlank="1">
        <m/>
      </sharedItems>
    </cacheField>
    <cacheField name="Is there anything you want to tell us?&#10;Nhà mình có tâm sự gì hong nè 😊" numFmtId="0">
      <sharedItems containsBlank="1">
        <m/>
        <s v="This is just test submission for the sheets!!!"/>
        <s v="draft but also my real response 😊 love u guys"/>
        <s v="yum yum yum yum yum yum💔"/>
        <s v="no"/>
        <s v="I’m not writing anything again"/>
        <s v="dạ hôm đó mình nhậu nhẹt uống tí cồn được không ạ 🥰🤟🏻"/>
        <s v="quynh lon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Order List PivotTable" cacheId="0" dataCaption="" rowGrandTotals="0" compact="0" compactData="0">
  <location ref="A1:AC12" firstHeaderRow="0" firstDataRow="3" firstDataCol="0"/>
  <pivotFields>
    <pivotField name="Timestamp" axis="axisRow" compact="0" numFmtId="168" outline="0" multipleItemSelectionAllowed="1" showAll="0" sortType="descending" defaultSubtotal="0">
      <items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name="Email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First Name:" axis="axisRow" compact="0" outline="0" multipleItemSelectionAllowed="1" showAll="0" sortType="ascending">
      <items>
        <item x="0"/>
        <item x="9"/>
        <item x="5"/>
        <item x="1"/>
        <item x="4"/>
        <item x="7"/>
        <item x="3"/>
        <item x="10"/>
        <item x="8"/>
        <item x="6"/>
        <item x="2"/>
        <item t="default"/>
      </items>
    </pivotField>
    <pivotField name="Last Name: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Is there anything we should know about? (i.e. allergies)&#10;Mình có lưu ý gì đặc biệt hong? (dị ứng,...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esar Salad | $7.99" dataField="1" compact="0" outline="0" multipleItemSelectionAllowed="1" showAll="0">
      <items>
        <item x="0"/>
        <item t="default"/>
      </items>
    </pivotField>
    <pivotField name="Bocconcini Salad | $12.99" dataField="1" compact="0" outline="0" multipleItemSelectionAllowed="1" showAll="0">
      <items>
        <item x="0"/>
        <item t="default"/>
      </items>
    </pivotField>
    <pivotField name="Ehwa Mini Salad | $7.99" dataField="1" compact="0" outline="0" multipleItemSelectionAllowed="1" showAll="0">
      <items>
        <item x="0"/>
        <item x="1"/>
        <item t="default"/>
      </items>
    </pivotField>
    <pivotField name="Ttukbaegi Pasta | $23.99" dataField="1" compact="0" outline="0" multipleItemSelectionAllowed="1" showAll="0">
      <items>
        <item x="0"/>
        <item t="default"/>
      </items>
    </pivotField>
    <pivotField name="Ehwa Clam Pasta | $20.99" dataField="1" compact="0" outline="0" multipleItemSelectionAllowed="1" showAll="0">
      <items>
        <item x="0"/>
        <item t="default"/>
      </items>
    </pivotField>
    <pivotField name="Pork Belly Chilli Cream Pasta | $20.99" dataField="1" compact="0" outline="0" multipleItemSelectionAllowed="1" showAll="0">
      <items>
        <item x="0"/>
        <item x="1"/>
        <item t="default"/>
      </items>
    </pivotField>
    <pivotField name="Polack Roe Pasta | $20.99" dataField="1" compact="0" outline="0" multipleItemSelectionAllowed="1" showAll="0">
      <items>
        <item x="0"/>
        <item t="default"/>
      </items>
    </pivotField>
    <pivotField name="Ehwa Tonkatsu | $18.99" dataField="1" compact="0" outline="0" multipleItemSelectionAllowed="1" showAll="0">
      <items>
        <item x="0"/>
        <item x="1"/>
        <item t="default"/>
      </items>
    </pivotField>
    <pivotField name="Cheese Tonkatsu | $21.99" dataField="1" compact="0" outline="0" multipleItemSelectionAllowed="1" showAll="0">
      <items>
        <item x="0"/>
        <item t="default"/>
      </items>
    </pivotField>
    <pivotField name="Spicy Cream Tonkatsu | $22.99" dataField="1" compact="0" outline="0" multipleItemSelectionAllowed="1" showAll="0">
      <items>
        <item x="0"/>
        <item t="default"/>
      </items>
    </pivotField>
    <pivotField name="Fish Katsu | $22.99" dataField="1" compact="0" outline="0" multipleItemSelectionAllowed="1" showAll="0">
      <items>
        <item x="0"/>
        <item t="default"/>
      </items>
    </pivotField>
    <pivotField name="Ehwa Hamburg Steak | $21.99" dataField="1" compact="0" outline="0" multipleItemSelectionAllowed="1" showAll="0">
      <items>
        <item x="0"/>
        <item x="1"/>
        <item t="default"/>
      </items>
    </pivotField>
    <pivotField name="Chilli Cream Hamburg Steak | $21.99" dataField="1" compact="0" outline="0" multipleItemSelectionAllowed="1" showAll="0">
      <items>
        <item x="0"/>
        <item t="default"/>
      </items>
    </pivotField>
    <pivotField name="Ehwa Jeong-Sik | $24.99" dataField="1" compact="0" outline="0" multipleItemSelectionAllowed="1" showAll="0">
      <items>
        <item x="0"/>
        <item t="default"/>
      </items>
    </pivotField>
    <pivotField name="Spicy Pork | $19.99" dataField="1" compact="0" outline="0" multipleItemSelectionAllowed="1" showAll="0">
      <items>
        <item x="0"/>
        <item t="default"/>
      </items>
    </pivotField>
    <pivotField name="Pork Belly | $19.99" dataField="1" compact="0" outline="0" multipleItemSelectionAllowed="1" showAll="0">
      <items>
        <item x="0"/>
        <item t="default"/>
      </items>
    </pivotField>
    <pivotField name="Bulgogi | $19.99" dataField="1" compact="0" outline="0" multipleItemSelectionAllowed="1" showAll="0">
      <items>
        <item x="0"/>
        <item x="1"/>
        <item t="default"/>
      </items>
    </pivotField>
    <pivotField name="Original | $17.99" dataField="1" compact="0" outline="0" multipleItemSelectionAllowed="1" showAll="0">
      <items>
        <item x="0"/>
        <item t="default"/>
      </items>
    </pivotField>
    <pivotField name="Humburg Steak | $22.99" dataField="1" compact="0" outline="0" multipleItemSelectionAllowed="1" showAll="0">
      <items>
        <item x="0"/>
        <item x="1"/>
        <item t="default"/>
      </items>
    </pivotField>
    <pivotField name="Tonkatsu | $20.99" dataField="1" compact="0" outline="0" multipleItemSelectionAllowed="1" showAll="0">
      <items>
        <item x="0"/>
        <item x="1"/>
        <item t="default"/>
      </items>
    </pivotField>
    <pivotField name="Sausage | $19.99" dataField="1" compact="0" outline="0" multipleItemSelectionAllowed="1" showAll="0">
      <items>
        <item x="0"/>
        <item x="1"/>
        <item t="default"/>
      </items>
    </pivotField>
    <pivotField name="Army Soup | $19.99" dataField="1" compact="0" outline="0" multipleItemSelectionAllowed="1" showAll="0">
      <items>
        <item x="0"/>
        <item x="1"/>
        <item t="default"/>
      </items>
    </pivotField>
    <pivotField name="Soon Tofu Soup | $19.99" dataField="1" compact="0" outline="0" multipleItemSelectionAllowed="1" showAll="0">
      <items>
        <item x="0"/>
        <item t="default"/>
      </items>
    </pivotField>
    <pivotField name="Braised Spicy Pork Rib | $23.99" dataField="1" compact="0" outline="0" multipleItemSelectionAllowed="1" showAll="0">
      <items>
        <item x="0"/>
        <item t="default"/>
      </items>
    </pivotField>
    <pivotField name="Yukhoe Bibimbap | $18.99" dataField="1" compact="0" outline="0" multipleItemSelectionAllowed="1" showAll="0">
      <items>
        <item x="0"/>
        <item x="1"/>
        <item t="default"/>
      </items>
    </pivotField>
    <pivotField name="Injeolmi Honey Pizza | $16.99" dataField="1" compact="0" outline="0" multipleItemSelectionAllowed="1" showAll="0">
      <items>
        <item x="0"/>
        <item t="default"/>
      </items>
    </pivotField>
    <pivotField name="Lunch Box | $xx.xx" dataField="1" compact="0" outline="0" multipleItemSelectionAllowed="1" showAll="0">
      <items>
        <item x="0"/>
        <item t="default"/>
      </items>
    </pivotField>
    <pivotField name="Is there anything you want to tell us?&#10;Nhà mình có tâm sự gì hong nè 😊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0"/>
    <field x="2"/>
  </rowFields>
  <colFields>
    <field x="-2"/>
  </colFields>
  <dataFields>
    <dataField name="Bocconcini Salad | $12.99" fld="6" subtotal="count" baseField="0"/>
    <dataField name="Ehwa Mini Salad | $7.99" fld="7" subtotal="count" baseField="0"/>
    <dataField name="Caesar Salad | $7.99" fld="5" subtotal="count" baseField="0"/>
    <dataField name="Ttukbaegi Pasta | $23.99" fld="8" subtotal="count" baseField="0"/>
    <dataField name="Ehwa Clam Pasta | $20.99" fld="9" subtotal="count" baseField="0"/>
    <dataField name="Pork Belly Chilli Cream Pasta | $20.99" fld="10" subtotal="count" baseField="0"/>
    <dataField name="Polack Roe Pasta | $20.99" fld="11" subtotal="count" baseField="0"/>
    <dataField name="Ehwa Tonkatsu | $18.99" fld="12" subtotal="count" baseField="0"/>
    <dataField name="Cheese Tonkatsu | $21.99" fld="13" subtotal="count" baseField="0"/>
    <dataField name="Spicy Cream Tonkatsu | $22.99" fld="14" subtotal="count" baseField="0"/>
    <dataField name="Fish Katsu | $22.99" fld="15" subtotal="count" baseField="0"/>
    <dataField name="Ehwa Hamburg Steak | $21.99" fld="16" subtotal="count" baseField="0"/>
    <dataField name="Chilli Cream Hamburg Steak | $21.99" fld="17" subtotal="count" baseField="0"/>
    <dataField name="Ehwa Jeong-Sik | $21.99" fld="18" subtotal="count" baseField="0"/>
    <dataField name="Spicy Pork | $19.99" fld="19" subtotal="count" baseField="0"/>
    <dataField name="Pork Belly | $19.99" fld="20" subtotal="count" baseField="0"/>
    <dataField name="Bulgogi | $19.99" fld="21" subtotal="count" baseField="0"/>
    <dataField name="Original | $17.99" fld="22" subtotal="count" baseField="0"/>
    <dataField name="Humburg Steak | $22.99" fld="23" subtotal="count" baseField="0"/>
    <dataField name="Tonkatsu | $20.99" fld="24" subtotal="count" baseField="0"/>
    <dataField name="Sausage | $19.99" fld="25" subtotal="count" baseField="0"/>
    <dataField name="Army Soup | $19.99" fld="26" subtotal="count" baseField="0"/>
    <dataField name="Soon Tofu Soup | $19.99" fld="27" subtotal="count" baseField="0"/>
    <dataField name="Braised Spicy Pork Rib | $23.99" fld="28" subtotal="count" baseField="0"/>
    <dataField name="Yukhoe Bibimbap | $18.99" fld="29" subtotal="count" baseField="0"/>
    <dataField name="Injeolmi Honey Pizza | $16.99" fld="30" subtotal="count" baseField="0"/>
    <dataField name="Lunch Box | $xx.xx" fld="31" subtotal="count" baseField="0"/>
  </dataFields>
</pivotTableDefinition>
</file>

<file path=xl/tables/table1.xml><?xml version="1.0" encoding="utf-8"?>
<table xmlns="http://schemas.openxmlformats.org/spreadsheetml/2006/main" ref="A2:D30" displayName="Total_Order_Summary" name="Total_Order_Summary" id="1">
  <tableColumns count="4">
    <tableColumn name="Order Item" id="1"/>
    <tableColumn name="Cost" id="2"/>
    <tableColumn name="Quantity" id="3"/>
    <tableColumn name="Total Cost (After Tax)" id="4"/>
  </tableColumns>
  <tableStyleInfo name="Order Summary-style" showColumnStripes="0" showFirstColumn="1" showLastColumn="1" showRowStripes="1"/>
</table>
</file>

<file path=xl/tables/table2.xml><?xml version="1.0" encoding="utf-8"?>
<table xmlns="http://schemas.openxmlformats.org/spreadsheetml/2006/main" ref="H2:J30" displayName="Order_Notes" name="Order_Notes" id="2">
  <tableColumns count="3">
    <tableColumn name="Name" id="1"/>
    <tableColumn name="Allergies" id="2"/>
    <tableColumn name="Other Messages" id="3"/>
  </tableColumns>
  <tableStyleInfo name="Order Summary-style 2" showColumnStripes="0" showFirstColumn="1" showLastColumn="1" showRowStripes="1"/>
</table>
</file>

<file path=xl/tables/table3.xml><?xml version="1.0" encoding="utf-8"?>
<table xmlns="http://schemas.openxmlformats.org/spreadsheetml/2006/main" ref="A1:AG12" displayName="Form_Responses4" name="Form_Responses4" id="3">
  <tableColumns count="33">
    <tableColumn name="Timestamp" id="1"/>
    <tableColumn name="Email address" id="2"/>
    <tableColumn name="First Name:" id="3"/>
    <tableColumn name="Last Name:" id="4"/>
    <tableColumn name="Is there anything we should know about? (i.e. allergies)_x000a_Mình có lưu ý gì đặc biệt hong? (dị ứng,...)" id="5"/>
    <tableColumn name="Caesar Salad | $7.99" id="6"/>
    <tableColumn name="Bocconcini Salad | $12.99" id="7"/>
    <tableColumn name="Ehwa Mini Salad | $7.99" id="8"/>
    <tableColumn name="Ttukbaegi Pasta | $23.99" id="9"/>
    <tableColumn name="Ehwa Clam Pasta | $20.99" id="10"/>
    <tableColumn name="Pork Belly Chilli Cream Pasta | $20.99" id="11"/>
    <tableColumn name="Polack Roe Pasta | $20.99" id="12"/>
    <tableColumn name="Ehwa Tonkatsu | $18.99" id="13"/>
    <tableColumn name="Cheese Tonkatsu | $21.99" id="14"/>
    <tableColumn name="Spicy Cream Tonkatsu | $22.99" id="15"/>
    <tableColumn name="Fish Katsu | $22.99" id="16"/>
    <tableColumn name="Ehwa Hamburg Steak | $21.99" id="17"/>
    <tableColumn name="Chilli Cream Hamburg Steak | $21.99" id="18"/>
    <tableColumn name="Ehwa Jeong-Sik | $24.99" id="19"/>
    <tableColumn name="Spicy Pork | $19.99" id="20"/>
    <tableColumn name="Pork Belly | $19.99" id="21"/>
    <tableColumn name="Bulgogi | $19.99" id="22"/>
    <tableColumn name="Original | $17.99" id="23"/>
    <tableColumn name="Humburg Steak | $22.99" id="24"/>
    <tableColumn name="Tonkatsu | $20.99" id="25"/>
    <tableColumn name="Sausage | $19.99" id="26"/>
    <tableColumn name="Army Soup | $19.99" id="27"/>
    <tableColumn name="Soon Tofu Soup | $19.99" id="28"/>
    <tableColumn name="Braised Spicy Pork Rib | $23.99" id="29"/>
    <tableColumn name="Yukhoe Bibimbap | $18.99" id="30"/>
    <tableColumn name="Injeolmi Honey Pizza | $16.99" id="31"/>
    <tableColumn name="Lunch Box | $xx.xx" id="32"/>
    <tableColumn name="Is there anything you want to tell us?_x000a_Nhà mình có tâm sự gì hong nè 😊" id="33"/>
  </tableColumns>
  <tableStyleInfo name="Order List Table-style" showColumnStripes="0" showFirstColumn="1" showLastColumn="1" showRowStripes="1"/>
</table>
</file>

<file path=xl/tables/table4.xml><?xml version="1.0" encoding="utf-8"?>
<table xmlns="http://schemas.openxmlformats.org/spreadsheetml/2006/main" ref="A1:AG2" displayName="Table_1" name="Table_1" id="4">
  <tableColumns count="33">
    <tableColumn name="Timestamp" id="1"/>
    <tableColumn name="Email address" id="2"/>
    <tableColumn name="First Name:" id="3"/>
    <tableColumn name="Last Name:" id="4"/>
    <tableColumn name="Is there anything we should know about? (i.e. allergies)_x000a_Mình có lưu ý gì đặc biệt hong? (dị ứng,...)" id="5"/>
    <tableColumn name="Caesar Salad | $7.99" id="6"/>
    <tableColumn name="Bocconcini Salad | $12.99" id="7"/>
    <tableColumn name="Ehwa Mini Salad | $7.99" id="8"/>
    <tableColumn name="Ttukbaegi Pasta | $23.99" id="9"/>
    <tableColumn name="Ehwa Clam Pasta | $20.99" id="10"/>
    <tableColumn name="Pork Belly Chilli Cream Pasta | $20.99" id="11"/>
    <tableColumn name="Polack Roe Pasta | $20.99" id="12"/>
    <tableColumn name="Ehwa Tonkatsu | $18.99" id="13"/>
    <tableColumn name="Cheese Tonkatsu | $21.99" id="14"/>
    <tableColumn name="Spicy Cream Tonkatsu | $22.99" id="15"/>
    <tableColumn name="Fish Katsu | $22.99" id="16"/>
    <tableColumn name="Ehwa Hamburg Steak | $21.99" id="17"/>
    <tableColumn name="Chilli Cream Hamburg Steak | $21.99" id="18"/>
    <tableColumn name="Ehwa Jeong-Sik | $24.99" id="19"/>
    <tableColumn name="Spicy Pork | $19.99" id="20"/>
    <tableColumn name="Pork Belly | $19.99" id="21"/>
    <tableColumn name="Bulgogi | $19.99" id="22"/>
    <tableColumn name="Original | $17.99" id="23"/>
    <tableColumn name="Humburg Steak | $22.99" id="24"/>
    <tableColumn name="Tonkatsu | $20.99" id="25"/>
    <tableColumn name="Sausage | $19.99" id="26"/>
    <tableColumn name="Army Soup | $19.99" id="27"/>
    <tableColumn name="Soon Tofu Soup | $19.99" id="28"/>
    <tableColumn name="Braised Spicy Pork Rib | $23.99" id="29"/>
    <tableColumn name="Yukhoe Bibimbap | $18.99" id="30"/>
    <tableColumn name="Injeolmi Honey Pizza | $16.99" id="31"/>
    <tableColumn name="Lunch Box | $xx.xx" id="32"/>
    <tableColumn name="Is there anything you want to tell us?_x000a_Nhà mình có tâm sự gì hong nè 😊" id="33"/>
  </tableColumns>
  <tableStyleInfo name="Detail6-Trang-Pham-style" showColumnStripes="0" showFirstColumn="1" showLastColumn="1" showRowStripes="1"/>
</table>
</file>

<file path=xl/tables/table5.xml><?xml version="1.0" encoding="utf-8"?>
<table xmlns="http://schemas.openxmlformats.org/spreadsheetml/2006/main" ref="A1:AG2" displayName="Table_2" name="Table_2" id="5">
  <tableColumns count="33">
    <tableColumn name="Timestamp" id="1"/>
    <tableColumn name="Email address" id="2"/>
    <tableColumn name="First Name:" id="3"/>
    <tableColumn name="Last Name:" id="4"/>
    <tableColumn name="Is there anything we should know about? (i.e. allergies)_x000a_Mình có lưu ý gì đặc biệt hong? (dị ứng,...)" id="5"/>
    <tableColumn name="Caesar Salad | $7.99" id="6"/>
    <tableColumn name="Bocconcini Salad | $12.99" id="7"/>
    <tableColumn name="Ehwa Mini Salad | $7.99" id="8"/>
    <tableColumn name="Ttukbaegi Pasta | $23.99" id="9"/>
    <tableColumn name="Ehwa Clam Pasta | $20.99" id="10"/>
    <tableColumn name="Pork Belly Chilli Cream Pasta | $20.99" id="11"/>
    <tableColumn name="Polack Roe Pasta | $20.99" id="12"/>
    <tableColumn name="Ehwa Tonkatsu | $18.99" id="13"/>
    <tableColumn name="Cheese Tonkatsu | $21.99" id="14"/>
    <tableColumn name="Spicy Cream Tonkatsu | $22.99" id="15"/>
    <tableColumn name="Fish Katsu | $22.99" id="16"/>
    <tableColumn name="Ehwa Hamburg Steak | $21.99" id="17"/>
    <tableColumn name="Chilli Cream Hamburg Steak | $21.99" id="18"/>
    <tableColumn name="Ehwa Jeong-Sik | $24.99" id="19"/>
    <tableColumn name="Spicy Pork | $19.99" id="20"/>
    <tableColumn name="Pork Belly | $19.99" id="21"/>
    <tableColumn name="Bulgogi | $19.99" id="22"/>
    <tableColumn name="Original | $17.99" id="23"/>
    <tableColumn name="Humburg Steak | $22.99" id="24"/>
    <tableColumn name="Tonkatsu | $20.99" id="25"/>
    <tableColumn name="Sausage | $19.99" id="26"/>
    <tableColumn name="Army Soup | $19.99" id="27"/>
    <tableColumn name="Soon Tofu Soup | $19.99" id="28"/>
    <tableColumn name="Braised Spicy Pork Rib | $23.99" id="29"/>
    <tableColumn name="Yukhoe Bibimbap | $18.99" id="30"/>
    <tableColumn name="Injeolmi Honey Pizza | $16.99" id="31"/>
    <tableColumn name="Lunch Box | $xx.xx" id="32"/>
    <tableColumn name="Is there anything you want to tell us?_x000a_Nhà mình có tâm sự gì hong nè 😊" id="33"/>
  </tableColumns>
  <tableStyleInfo name="Detail5-Trang-Pham-style" showColumnStripes="0" showFirstColumn="1" showLastColumn="1" showRowStripes="1"/>
</table>
</file>

<file path=xl/tables/table6.xml><?xml version="1.0" encoding="utf-8"?>
<table xmlns="http://schemas.openxmlformats.org/spreadsheetml/2006/main" ref="A1:H22" displayName="Form_Responses2" name="Form_Responses2" id="6">
  <tableColumns count="8">
    <tableColumn name="Timestamp" id="1"/>
    <tableColumn name="How much at most are you willing to spend?" id="2"/>
    <tableColumn name="Are you okay with taking the TTC?" id="3"/>
    <tableColumn name="How long are you okay with commuting?" id="4"/>
    <tableColumn name="Bowling 🎳" id="5"/>
    <tableColumn name="Karaoke 🎤" id="6"/>
    <tableColumn name="Boardgame Cafe ♛" id="7"/>
    <tableColumn name="Billiards 🎱" id="8"/>
  </tableColumns>
  <tableStyleInfo name="TMVSA Survey Statistics-style" showColumnStripes="0" showFirstColumn="1" showLastColumn="1" showRowStripes="1"/>
</table>
</file>

<file path=xl/tables/table7.xml><?xml version="1.0" encoding="utf-8"?>
<table xmlns="http://schemas.openxmlformats.org/spreadsheetml/2006/main" ref="A1:G23" displayName="Form_Responses1" name="Form_Responses1" id="7">
  <tableColumns count="7">
    <tableColumn name="Timestamp" id="1"/>
    <tableColumn name="First Name:" id="2"/>
    <tableColumn name="Last Name:" id="3"/>
    <tableColumn name="Email address" id="4"/>
    <tableColumn name="Are you okay with spending $20-30 on dining + karaoke?_x000a_Nhà mình có thể chi $20-30 cho ăn tối và karaoke hong?" id="5"/>
    <tableColumn name="Will you be attending the event on March 19th?_x000a_Nhà mình có tới được vào ngày 19 tháng 3 hong?" id="6"/>
    <tableColumn name="Is there anything you want to tell us?_x000a_Mình có điều gì muốn tâm sự hong nè 😊" id="7"/>
  </tableColumns>
  <tableStyleInfo name="Confirmation Resul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transit.com/en/student-savings" TargetMode="External"/><Relationship Id="rId2" Type="http://schemas.openxmlformats.org/officeDocument/2006/relationships/hyperlink" Target="https://ehwa.ca/downtown-menu/" TargetMode="External"/><Relationship Id="rId3" Type="http://schemas.openxmlformats.org/officeDocument/2006/relationships/hyperlink" Target="https://bar-plus.com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recroom.com/toronto-roundhouse" TargetMode="External"/><Relationship Id="rId2" Type="http://schemas.openxmlformats.org/officeDocument/2006/relationships/hyperlink" Target="https://www.twilightcafe.ca/" TargetMode="External"/><Relationship Id="rId3" Type="http://schemas.openxmlformats.org/officeDocument/2006/relationships/hyperlink" Target="https://bar-plus.com/" TargetMode="External"/><Relationship Id="rId4" Type="http://schemas.openxmlformats.org/officeDocument/2006/relationships/hyperlink" Target="https://yorkville.theballroombowl.ca/bowling" TargetMode="External"/><Relationship Id="rId5" Type="http://schemas.openxmlformats.org/officeDocument/2006/relationships/hyperlink" Target="https://vipbilliardsclub.com/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aldongnaebbq.com/" TargetMode="External"/><Relationship Id="rId10" Type="http://schemas.openxmlformats.org/officeDocument/2006/relationships/hyperlink" Target="https://www.bapbo.com/menus" TargetMode="External"/><Relationship Id="rId13" Type="http://schemas.openxmlformats.org/officeDocument/2006/relationships/hyperlink" Target="https://happylambhotpotca.com/" TargetMode="External"/><Relationship Id="rId12" Type="http://schemas.openxmlformats.org/officeDocument/2006/relationships/hyperlink" Target="http://phopasteur.ca/" TargetMode="External"/><Relationship Id="rId1" Type="http://schemas.openxmlformats.org/officeDocument/2006/relationships/hyperlink" Target="https://www.instagram.com/ehwa_restaurant/" TargetMode="External"/><Relationship Id="rId2" Type="http://schemas.openxmlformats.org/officeDocument/2006/relationships/hyperlink" Target="https://www.paitoronto.com/" TargetMode="External"/><Relationship Id="rId3" Type="http://schemas.openxmlformats.org/officeDocument/2006/relationships/hyperlink" Target="https://www.haidilao-inc.com/ca" TargetMode="External"/><Relationship Id="rId4" Type="http://schemas.openxmlformats.org/officeDocument/2006/relationships/hyperlink" Target="http://www.gyu-kaku.com/toronto" TargetMode="External"/><Relationship Id="rId9" Type="http://schemas.openxmlformats.org/officeDocument/2006/relationships/hyperlink" Target="https://btownpizza.ca/" TargetMode="External"/><Relationship Id="rId14" Type="http://schemas.openxmlformats.org/officeDocument/2006/relationships/drawing" Target="../drawings/drawing5.xml"/><Relationship Id="rId5" Type="http://schemas.openxmlformats.org/officeDocument/2006/relationships/hyperlink" Target="https://momspanfriedbun.com/" TargetMode="External"/><Relationship Id="rId6" Type="http://schemas.openxmlformats.org/officeDocument/2006/relationships/hyperlink" Target="https://happylambhotpotca.com/" TargetMode="External"/><Relationship Id="rId7" Type="http://schemas.openxmlformats.org/officeDocument/2006/relationships/hyperlink" Target="https://www.hmartca.com/bbq" TargetMode="External"/><Relationship Id="rId8" Type="http://schemas.openxmlformats.org/officeDocument/2006/relationships/hyperlink" Target="https://banhmiboys.com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4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1bqyeZxr0WC58j-DEv2aVUN9QBZhJ4DIwzCbjay6eGI/edit?usp=sharing" TargetMode="External"/><Relationship Id="rId2" Type="http://schemas.openxmlformats.org/officeDocument/2006/relationships/hyperlink" Target="https://docs.google.com/forms/d/e/1FAIpQLScFKphzFFzg9OlzzbmsWuz-nLIsImAfJZrIpHZZ_Gql0HNonw/viewform?usp=sharing" TargetMode="External"/><Relationship Id="rId3" Type="http://schemas.openxmlformats.org/officeDocument/2006/relationships/hyperlink" Target="https://docs.google.com/forms/d/1PHfR4JBCMjRXVgaLJdNX_0jMnOGJzL_H4g6Dcy6Rnq4/edit" TargetMode="External"/><Relationship Id="rId4" Type="http://schemas.openxmlformats.org/officeDocument/2006/relationships/hyperlink" Target="https://forms.gle/wMa2jRDPtt6fZPHk6" TargetMode="External"/><Relationship Id="rId5" Type="http://schemas.openxmlformats.org/officeDocument/2006/relationships/hyperlink" Target="https://docs.google.com/forms/d/1h_KZ8B-ozkQ4X4b96x8HLLxx2-ODGD2Kb4URK4qAdQU/edit" TargetMode="External"/><Relationship Id="rId6" Type="http://schemas.openxmlformats.org/officeDocument/2006/relationships/hyperlink" Target="https://forms.gle/7xcReJ1jcaNzcG1G9" TargetMode="External"/><Relationship Id="rId7" Type="http://schemas.openxmlformats.org/officeDocument/2006/relationships/hyperlink" Target="https://docs.google.com/forms/d/16Cx4vI8zIWzfiaflsk4MEH5NgzPlxNjd42qLeH28T5s/edit" TargetMode="External"/><Relationship Id="rId8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" t="s">
        <v>0</v>
      </c>
      <c r="C4" s="2"/>
      <c r="D4" s="2"/>
      <c r="E4" s="3"/>
      <c r="F4" s="4"/>
      <c r="I4" s="5" t="s">
        <v>1</v>
      </c>
      <c r="J4" s="6"/>
    </row>
    <row r="5">
      <c r="B5" s="7"/>
      <c r="C5" s="8"/>
      <c r="F5" s="9"/>
      <c r="I5" s="10" t="s">
        <v>2</v>
      </c>
      <c r="J5" s="11"/>
    </row>
    <row r="6">
      <c r="B6" s="7"/>
      <c r="F6" s="9"/>
      <c r="I6" s="10" t="s">
        <v>3</v>
      </c>
      <c r="J6" s="11"/>
    </row>
    <row r="7">
      <c r="B7" s="7"/>
      <c r="F7" s="9"/>
      <c r="I7" s="10" t="s">
        <v>4</v>
      </c>
      <c r="J7" s="11"/>
    </row>
    <row r="8">
      <c r="B8" s="12" t="s">
        <v>0</v>
      </c>
      <c r="F8" s="9"/>
      <c r="I8" s="13"/>
      <c r="J8" s="14"/>
    </row>
    <row r="9">
      <c r="B9" s="7"/>
      <c r="F9" s="9"/>
    </row>
    <row r="10">
      <c r="B10" s="7"/>
      <c r="F10" s="9"/>
      <c r="I10" s="15" t="s">
        <v>5</v>
      </c>
    </row>
    <row r="11">
      <c r="B11" s="7"/>
      <c r="F11" s="9"/>
    </row>
    <row r="12">
      <c r="B12" s="7"/>
      <c r="F12" s="9"/>
    </row>
    <row r="13">
      <c r="B13" s="7"/>
      <c r="F13" s="9"/>
      <c r="I13" s="15" t="s">
        <v>6</v>
      </c>
      <c r="J13" s="16">
        <v>45718.0</v>
      </c>
    </row>
    <row r="14">
      <c r="B14" s="7"/>
      <c r="C14" s="17" t="s">
        <v>7</v>
      </c>
      <c r="F14" s="9"/>
    </row>
    <row r="15">
      <c r="B15" s="7"/>
      <c r="C15" s="18" t="s">
        <v>8</v>
      </c>
      <c r="F15" s="9"/>
    </row>
    <row r="16">
      <c r="B16" s="7"/>
      <c r="C16" s="18" t="s">
        <v>9</v>
      </c>
      <c r="F16" s="9"/>
      <c r="I16" s="15" t="s">
        <v>10</v>
      </c>
    </row>
    <row r="17">
      <c r="B17" s="7"/>
      <c r="C17" s="8"/>
      <c r="F17" s="9"/>
      <c r="I17" s="15" t="s">
        <v>11</v>
      </c>
    </row>
    <row r="18">
      <c r="B18" s="7"/>
      <c r="C18" s="19" t="s">
        <v>12</v>
      </c>
      <c r="D18" s="20"/>
      <c r="E18" s="21"/>
      <c r="F18" s="9"/>
      <c r="I18" s="15" t="s">
        <v>13</v>
      </c>
    </row>
    <row r="19">
      <c r="B19" s="7"/>
      <c r="C19" s="22">
        <v>45735.0</v>
      </c>
      <c r="E19" s="23"/>
      <c r="F19" s="9"/>
      <c r="I19" s="15"/>
    </row>
    <row r="20">
      <c r="B20" s="7"/>
      <c r="C20" s="24" t="s">
        <v>14</v>
      </c>
      <c r="E20" s="23"/>
      <c r="F20" s="9"/>
    </row>
    <row r="21">
      <c r="B21" s="7"/>
      <c r="C21" s="25" t="s">
        <v>15</v>
      </c>
      <c r="E21" s="23"/>
      <c r="F21" s="9"/>
      <c r="I21" s="15" t="s">
        <v>16</v>
      </c>
    </row>
    <row r="22">
      <c r="B22" s="7"/>
      <c r="C22" s="25"/>
      <c r="E22" s="23"/>
      <c r="F22" s="9"/>
    </row>
    <row r="23">
      <c r="B23" s="7"/>
      <c r="C23" s="25"/>
      <c r="E23" s="23"/>
      <c r="F23" s="9"/>
      <c r="I23" s="15" t="s">
        <v>17</v>
      </c>
    </row>
    <row r="24">
      <c r="B24" s="7"/>
      <c r="C24" s="25"/>
      <c r="E24" s="23"/>
      <c r="F24" s="9"/>
    </row>
    <row r="25">
      <c r="B25" s="7"/>
      <c r="C25" s="26"/>
      <c r="D25" s="27"/>
      <c r="E25" s="28"/>
      <c r="F25" s="9"/>
    </row>
    <row r="26">
      <c r="B26" s="29"/>
      <c r="C26" s="30"/>
      <c r="D26" s="30"/>
      <c r="E26" s="30"/>
      <c r="F26" s="31"/>
    </row>
  </sheetData>
  <mergeCells count="12">
    <mergeCell ref="C21:E21"/>
    <mergeCell ref="C22:E22"/>
    <mergeCell ref="C23:E23"/>
    <mergeCell ref="C24:E24"/>
    <mergeCell ref="C25:E25"/>
    <mergeCell ref="C5:E12"/>
    <mergeCell ref="C14:E14"/>
    <mergeCell ref="C15:E15"/>
    <mergeCell ref="C16:E16"/>
    <mergeCell ref="C18:E18"/>
    <mergeCell ref="C19:E19"/>
    <mergeCell ref="C20:E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50.5"/>
    <col customWidth="1" min="3" max="3" width="47.75"/>
    <col customWidth="1" min="4" max="4" width="53.75"/>
    <col customWidth="1" min="8" max="8" width="17.0"/>
  </cols>
  <sheetData>
    <row r="1">
      <c r="A1" s="32" t="s">
        <v>18</v>
      </c>
      <c r="B1" s="33" t="s">
        <v>19</v>
      </c>
      <c r="C1" s="33" t="s">
        <v>20</v>
      </c>
      <c r="D1" s="33" t="s">
        <v>21</v>
      </c>
    </row>
    <row r="2">
      <c r="A2" s="34">
        <v>0.3333333333333333</v>
      </c>
      <c r="B2" s="35" t="s">
        <v>22</v>
      </c>
      <c r="C2" s="35" t="s">
        <v>23</v>
      </c>
      <c r="D2" s="36" t="s">
        <v>24</v>
      </c>
    </row>
    <row r="3">
      <c r="A3" s="37">
        <v>0.375</v>
      </c>
      <c r="B3" s="23"/>
      <c r="C3" s="23"/>
      <c r="D3" s="23"/>
    </row>
    <row r="4">
      <c r="A4" s="34">
        <v>0.4166666666666667</v>
      </c>
      <c r="B4" s="23"/>
      <c r="C4" s="23"/>
      <c r="D4" s="23"/>
    </row>
    <row r="5">
      <c r="A5" s="34">
        <v>0.4583333333333333</v>
      </c>
      <c r="B5" s="23"/>
      <c r="C5" s="23"/>
      <c r="D5" s="23"/>
    </row>
    <row r="6">
      <c r="A6" s="34">
        <v>0.5</v>
      </c>
      <c r="B6" s="23"/>
      <c r="C6" s="23"/>
      <c r="D6" s="23"/>
    </row>
    <row r="7">
      <c r="A7" s="34">
        <v>0.5416666666666666</v>
      </c>
      <c r="B7" s="23"/>
      <c r="C7" s="23"/>
      <c r="D7" s="23"/>
    </row>
    <row r="8">
      <c r="A8" s="34">
        <v>0.5833333333333334</v>
      </c>
      <c r="B8" s="23"/>
      <c r="C8" s="23"/>
      <c r="D8" s="23"/>
    </row>
    <row r="9">
      <c r="A9" s="34">
        <v>0.625</v>
      </c>
      <c r="B9" s="23"/>
      <c r="C9" s="23"/>
      <c r="D9" s="23"/>
    </row>
    <row r="10">
      <c r="A10" s="34">
        <v>0.6666666666666666</v>
      </c>
      <c r="B10" s="23"/>
      <c r="C10" s="23"/>
      <c r="D10" s="23"/>
    </row>
    <row r="11" ht="15.75" customHeight="1">
      <c r="A11" s="34">
        <v>0.7083333333333334</v>
      </c>
      <c r="B11" s="38" t="s">
        <v>25</v>
      </c>
      <c r="C11" s="38" t="s">
        <v>26</v>
      </c>
      <c r="D11" s="39" t="s">
        <v>27</v>
      </c>
    </row>
    <row r="12">
      <c r="A12" s="40">
        <v>0.7361111111111112</v>
      </c>
      <c r="B12" s="41" t="s">
        <v>28</v>
      </c>
      <c r="C12" s="41"/>
      <c r="D12" s="42"/>
    </row>
    <row r="13" ht="15.75" customHeight="1">
      <c r="A13" s="34">
        <v>0.75</v>
      </c>
      <c r="B13" s="43" t="s">
        <v>29</v>
      </c>
      <c r="C13" s="43"/>
      <c r="D13" s="44" t="s">
        <v>30</v>
      </c>
    </row>
    <row r="14">
      <c r="A14" s="34">
        <v>0.7916666666666666</v>
      </c>
      <c r="B14" s="23"/>
      <c r="C14" s="23"/>
      <c r="D14" s="23"/>
    </row>
    <row r="15" ht="15.75" customHeight="1">
      <c r="A15" s="34">
        <v>0.8125</v>
      </c>
      <c r="B15" s="41" t="s">
        <v>31</v>
      </c>
      <c r="C15" s="41"/>
      <c r="D15" s="45"/>
    </row>
    <row r="16">
      <c r="A16" s="34">
        <v>0.8333333333333334</v>
      </c>
      <c r="B16" s="43" t="s">
        <v>32</v>
      </c>
      <c r="C16" s="43" t="s">
        <v>33</v>
      </c>
      <c r="D16" s="46" t="s">
        <v>34</v>
      </c>
    </row>
    <row r="17">
      <c r="A17" s="34">
        <v>0.875</v>
      </c>
      <c r="B17" s="23"/>
      <c r="C17" s="23"/>
      <c r="D17" s="23"/>
    </row>
    <row r="18">
      <c r="A18" s="34">
        <v>0.9166666666666666</v>
      </c>
      <c r="B18" s="47" t="s">
        <v>35</v>
      </c>
      <c r="C18" s="47" t="s">
        <v>36</v>
      </c>
      <c r="D18" s="48"/>
    </row>
    <row r="19">
      <c r="A19" s="34">
        <v>0.9583333333333334</v>
      </c>
      <c r="B19" s="23"/>
      <c r="C19" s="23"/>
      <c r="D19" s="23"/>
    </row>
    <row r="20">
      <c r="A20" s="34">
        <v>0.0</v>
      </c>
      <c r="B20" s="23"/>
      <c r="C20" s="23"/>
      <c r="D20" s="23"/>
    </row>
    <row r="21">
      <c r="A21" s="34">
        <v>0.041666666666666664</v>
      </c>
      <c r="B21" s="23"/>
      <c r="C21" s="23"/>
      <c r="D21" s="23"/>
    </row>
    <row r="22">
      <c r="A22" s="34">
        <v>0.08333333333333333</v>
      </c>
      <c r="B22" s="23"/>
      <c r="C22" s="23"/>
      <c r="D22" s="23"/>
    </row>
    <row r="23">
      <c r="A23" s="49"/>
      <c r="C23" s="15" t="s">
        <v>37</v>
      </c>
    </row>
    <row r="24">
      <c r="A24" s="49"/>
    </row>
    <row r="25">
      <c r="A25" s="49"/>
    </row>
    <row r="26">
      <c r="A26" s="49"/>
    </row>
    <row r="27">
      <c r="A27" s="49"/>
    </row>
    <row r="28">
      <c r="A28" s="49"/>
    </row>
    <row r="29">
      <c r="A29" s="49"/>
    </row>
    <row r="30">
      <c r="A30" s="49"/>
    </row>
    <row r="31">
      <c r="A31" s="49"/>
    </row>
    <row r="32">
      <c r="A32" s="49"/>
    </row>
    <row r="33">
      <c r="A33" s="49"/>
    </row>
    <row r="34">
      <c r="A34" s="49"/>
    </row>
    <row r="35">
      <c r="A35" s="49"/>
    </row>
    <row r="36">
      <c r="A36" s="49"/>
    </row>
    <row r="37">
      <c r="A37" s="49"/>
    </row>
    <row r="38">
      <c r="A38" s="49"/>
    </row>
    <row r="39">
      <c r="A39" s="49"/>
    </row>
    <row r="40">
      <c r="A40" s="49"/>
    </row>
    <row r="41">
      <c r="A41" s="49"/>
    </row>
    <row r="42">
      <c r="A42" s="49"/>
    </row>
    <row r="43">
      <c r="A43" s="49"/>
    </row>
    <row r="44">
      <c r="A44" s="49"/>
    </row>
    <row r="45">
      <c r="A45" s="49"/>
    </row>
    <row r="46">
      <c r="A46" s="49"/>
    </row>
    <row r="47">
      <c r="A47" s="49"/>
    </row>
    <row r="48">
      <c r="A48" s="49"/>
    </row>
    <row r="49">
      <c r="A49" s="49"/>
    </row>
    <row r="50">
      <c r="A50" s="49"/>
    </row>
    <row r="51">
      <c r="A51" s="49"/>
    </row>
    <row r="52">
      <c r="A52" s="49"/>
    </row>
    <row r="53">
      <c r="A53" s="49"/>
    </row>
    <row r="54">
      <c r="A54" s="49"/>
    </row>
    <row r="55">
      <c r="A55" s="49"/>
    </row>
    <row r="56">
      <c r="A56" s="49"/>
    </row>
    <row r="57">
      <c r="A57" s="49"/>
    </row>
    <row r="58">
      <c r="A58" s="49"/>
    </row>
    <row r="59">
      <c r="A59" s="49"/>
    </row>
    <row r="60">
      <c r="A60" s="49"/>
    </row>
    <row r="61">
      <c r="A61" s="49"/>
    </row>
    <row r="62">
      <c r="A62" s="49"/>
    </row>
    <row r="63">
      <c r="A63" s="49"/>
    </row>
    <row r="64">
      <c r="A64" s="49"/>
    </row>
    <row r="65">
      <c r="A65" s="49"/>
    </row>
    <row r="66">
      <c r="A66" s="49"/>
    </row>
    <row r="67">
      <c r="A67" s="49"/>
    </row>
    <row r="68">
      <c r="A68" s="49"/>
    </row>
    <row r="69">
      <c r="A69" s="49"/>
    </row>
    <row r="70">
      <c r="A70" s="49"/>
    </row>
    <row r="71">
      <c r="A71" s="49"/>
    </row>
    <row r="72">
      <c r="A72" s="49"/>
    </row>
    <row r="73">
      <c r="A73" s="49"/>
    </row>
    <row r="74">
      <c r="A74" s="49"/>
    </row>
    <row r="75">
      <c r="A75" s="49"/>
    </row>
    <row r="76">
      <c r="A76" s="49"/>
    </row>
    <row r="77">
      <c r="A77" s="49"/>
    </row>
    <row r="78">
      <c r="A78" s="49"/>
    </row>
    <row r="79">
      <c r="A79" s="49"/>
    </row>
    <row r="80">
      <c r="A80" s="49"/>
    </row>
    <row r="81">
      <c r="A81" s="49"/>
    </row>
    <row r="82">
      <c r="A82" s="49"/>
    </row>
    <row r="83">
      <c r="A83" s="49"/>
    </row>
    <row r="84">
      <c r="A84" s="49"/>
    </row>
    <row r="85">
      <c r="A85" s="49"/>
    </row>
    <row r="86">
      <c r="A86" s="49"/>
    </row>
    <row r="87">
      <c r="A87" s="49"/>
    </row>
    <row r="88">
      <c r="A88" s="49"/>
    </row>
    <row r="89">
      <c r="A89" s="49"/>
    </row>
    <row r="90">
      <c r="A90" s="49"/>
    </row>
    <row r="91">
      <c r="A91" s="49"/>
    </row>
    <row r="92">
      <c r="A92" s="49"/>
    </row>
    <row r="93">
      <c r="A93" s="49"/>
    </row>
    <row r="94">
      <c r="A94" s="49"/>
    </row>
    <row r="95">
      <c r="A95" s="49"/>
    </row>
    <row r="96">
      <c r="A96" s="49"/>
    </row>
    <row r="97">
      <c r="A97" s="49"/>
    </row>
    <row r="98">
      <c r="A98" s="49"/>
    </row>
    <row r="99">
      <c r="A99" s="49"/>
    </row>
    <row r="100">
      <c r="A100" s="49"/>
    </row>
    <row r="101">
      <c r="A101" s="49"/>
    </row>
    <row r="102">
      <c r="A102" s="49"/>
    </row>
    <row r="103">
      <c r="A103" s="49"/>
    </row>
    <row r="104">
      <c r="A104" s="49"/>
    </row>
    <row r="105">
      <c r="A105" s="49"/>
    </row>
    <row r="106">
      <c r="A106" s="49"/>
    </row>
    <row r="107">
      <c r="A107" s="49"/>
    </row>
    <row r="108">
      <c r="A108" s="49"/>
    </row>
    <row r="109">
      <c r="A109" s="49"/>
    </row>
    <row r="110">
      <c r="A110" s="49"/>
    </row>
    <row r="111">
      <c r="A111" s="49"/>
    </row>
    <row r="112">
      <c r="A112" s="49"/>
    </row>
    <row r="113">
      <c r="A113" s="49"/>
    </row>
    <row r="114">
      <c r="A114" s="49"/>
    </row>
    <row r="115">
      <c r="A115" s="49"/>
    </row>
    <row r="116">
      <c r="A116" s="49"/>
    </row>
    <row r="117">
      <c r="A117" s="49"/>
    </row>
    <row r="118">
      <c r="A118" s="49"/>
    </row>
    <row r="119">
      <c r="A119" s="49"/>
    </row>
    <row r="120">
      <c r="A120" s="49"/>
    </row>
    <row r="121">
      <c r="A121" s="49"/>
    </row>
    <row r="122">
      <c r="A122" s="49"/>
    </row>
    <row r="123">
      <c r="A123" s="49"/>
    </row>
    <row r="124">
      <c r="A124" s="49"/>
    </row>
    <row r="125">
      <c r="A125" s="49"/>
    </row>
    <row r="126">
      <c r="A126" s="49"/>
    </row>
    <row r="127">
      <c r="A127" s="49"/>
    </row>
    <row r="128">
      <c r="A128" s="49"/>
    </row>
    <row r="129">
      <c r="A129" s="49"/>
    </row>
    <row r="130">
      <c r="A130" s="49"/>
    </row>
    <row r="131">
      <c r="A131" s="49"/>
    </row>
    <row r="132">
      <c r="A132" s="49"/>
    </row>
    <row r="133">
      <c r="A133" s="49"/>
    </row>
    <row r="134">
      <c r="A134" s="49"/>
    </row>
    <row r="135">
      <c r="A135" s="49"/>
    </row>
    <row r="136">
      <c r="A136" s="49"/>
    </row>
    <row r="137">
      <c r="A137" s="49"/>
    </row>
    <row r="138">
      <c r="A138" s="49"/>
    </row>
    <row r="139">
      <c r="A139" s="49"/>
    </row>
    <row r="140">
      <c r="A140" s="49"/>
    </row>
    <row r="141">
      <c r="A141" s="49"/>
    </row>
    <row r="142">
      <c r="A142" s="49"/>
    </row>
    <row r="143">
      <c r="A143" s="49"/>
    </row>
    <row r="144">
      <c r="A144" s="49"/>
    </row>
    <row r="145">
      <c r="A145" s="49"/>
    </row>
    <row r="146">
      <c r="A146" s="49"/>
    </row>
    <row r="147">
      <c r="A147" s="49"/>
    </row>
    <row r="148">
      <c r="A148" s="49"/>
    </row>
    <row r="149">
      <c r="A149" s="49"/>
    </row>
    <row r="150">
      <c r="A150" s="49"/>
    </row>
    <row r="151">
      <c r="A151" s="49"/>
    </row>
    <row r="152">
      <c r="A152" s="49"/>
    </row>
    <row r="153">
      <c r="A153" s="49"/>
    </row>
    <row r="154">
      <c r="A154" s="49"/>
    </row>
    <row r="155">
      <c r="A155" s="49"/>
    </row>
    <row r="156">
      <c r="A156" s="49"/>
    </row>
    <row r="157">
      <c r="A157" s="49"/>
    </row>
    <row r="158">
      <c r="A158" s="49"/>
    </row>
    <row r="159">
      <c r="A159" s="49"/>
    </row>
    <row r="160">
      <c r="A160" s="49"/>
    </row>
    <row r="161">
      <c r="A161" s="49"/>
    </row>
    <row r="162">
      <c r="A162" s="49"/>
    </row>
    <row r="163">
      <c r="A163" s="49"/>
    </row>
    <row r="164">
      <c r="A164" s="49"/>
    </row>
    <row r="165">
      <c r="A165" s="49"/>
    </row>
    <row r="166">
      <c r="A166" s="49"/>
    </row>
    <row r="167">
      <c r="A167" s="49"/>
    </row>
    <row r="168">
      <c r="A168" s="49"/>
    </row>
    <row r="169">
      <c r="A169" s="49"/>
    </row>
    <row r="170">
      <c r="A170" s="49"/>
    </row>
    <row r="171">
      <c r="A171" s="49"/>
    </row>
    <row r="172">
      <c r="A172" s="49"/>
    </row>
    <row r="173">
      <c r="A173" s="49"/>
    </row>
    <row r="174">
      <c r="A174" s="49"/>
    </row>
    <row r="175">
      <c r="A175" s="49"/>
    </row>
    <row r="176">
      <c r="A176" s="49"/>
    </row>
    <row r="177">
      <c r="A177" s="49"/>
    </row>
    <row r="178">
      <c r="A178" s="49"/>
    </row>
    <row r="179">
      <c r="A179" s="49"/>
    </row>
    <row r="180">
      <c r="A180" s="49"/>
    </row>
    <row r="181">
      <c r="A181" s="49"/>
    </row>
    <row r="182">
      <c r="A182" s="49"/>
    </row>
    <row r="183">
      <c r="A183" s="49"/>
    </row>
    <row r="184">
      <c r="A184" s="49"/>
    </row>
    <row r="185">
      <c r="A185" s="49"/>
    </row>
    <row r="186">
      <c r="A186" s="49"/>
    </row>
    <row r="187">
      <c r="A187" s="49"/>
    </row>
    <row r="188">
      <c r="A188" s="49"/>
    </row>
    <row r="189">
      <c r="A189" s="49"/>
    </row>
    <row r="190">
      <c r="A190" s="49"/>
    </row>
    <row r="191">
      <c r="A191" s="49"/>
    </row>
    <row r="192">
      <c r="A192" s="49"/>
    </row>
    <row r="193">
      <c r="A193" s="49"/>
    </row>
    <row r="194">
      <c r="A194" s="49"/>
    </row>
    <row r="195">
      <c r="A195" s="49"/>
    </row>
    <row r="196">
      <c r="A196" s="49"/>
    </row>
    <row r="197">
      <c r="A197" s="49"/>
    </row>
    <row r="198">
      <c r="A198" s="49"/>
    </row>
    <row r="199">
      <c r="A199" s="49"/>
    </row>
    <row r="200">
      <c r="A200" s="49"/>
    </row>
    <row r="201">
      <c r="A201" s="49"/>
    </row>
    <row r="202">
      <c r="A202" s="49"/>
    </row>
    <row r="203">
      <c r="A203" s="49"/>
    </row>
    <row r="204">
      <c r="A204" s="49"/>
    </row>
    <row r="205">
      <c r="A205" s="49"/>
    </row>
    <row r="206">
      <c r="A206" s="49"/>
    </row>
    <row r="207">
      <c r="A207" s="49"/>
    </row>
    <row r="208">
      <c r="A208" s="49"/>
    </row>
    <row r="209">
      <c r="A209" s="49"/>
    </row>
    <row r="210">
      <c r="A210" s="49"/>
    </row>
    <row r="211">
      <c r="A211" s="49"/>
    </row>
    <row r="212">
      <c r="A212" s="49"/>
    </row>
    <row r="213">
      <c r="A213" s="49"/>
    </row>
    <row r="214">
      <c r="A214" s="49"/>
    </row>
    <row r="215">
      <c r="A215" s="49"/>
    </row>
    <row r="216">
      <c r="A216" s="49"/>
    </row>
    <row r="217">
      <c r="A217" s="49"/>
    </row>
    <row r="218">
      <c r="A218" s="49"/>
    </row>
    <row r="219">
      <c r="A219" s="49"/>
    </row>
    <row r="220">
      <c r="A220" s="49"/>
    </row>
    <row r="221">
      <c r="A221" s="49"/>
    </row>
    <row r="222">
      <c r="A222" s="49"/>
    </row>
    <row r="223">
      <c r="A223" s="49"/>
    </row>
    <row r="224">
      <c r="A224" s="49"/>
    </row>
    <row r="225">
      <c r="A225" s="49"/>
    </row>
    <row r="226">
      <c r="A226" s="49"/>
    </row>
    <row r="227">
      <c r="A227" s="49"/>
    </row>
    <row r="228">
      <c r="A228" s="49"/>
    </row>
    <row r="229">
      <c r="A229" s="49"/>
    </row>
    <row r="230">
      <c r="A230" s="49"/>
    </row>
    <row r="231">
      <c r="A231" s="49"/>
    </row>
    <row r="232">
      <c r="A232" s="49"/>
    </row>
    <row r="233">
      <c r="A233" s="49"/>
    </row>
    <row r="234">
      <c r="A234" s="49"/>
    </row>
    <row r="235">
      <c r="A235" s="49"/>
    </row>
    <row r="236">
      <c r="A236" s="49"/>
    </row>
    <row r="237">
      <c r="A237" s="49"/>
    </row>
    <row r="238">
      <c r="A238" s="49"/>
    </row>
    <row r="239">
      <c r="A239" s="49"/>
    </row>
    <row r="240">
      <c r="A240" s="49"/>
    </row>
    <row r="241">
      <c r="A241" s="49"/>
    </row>
    <row r="242">
      <c r="A242" s="49"/>
    </row>
    <row r="243">
      <c r="A243" s="49"/>
    </row>
    <row r="244">
      <c r="A244" s="49"/>
    </row>
    <row r="245">
      <c r="A245" s="49"/>
    </row>
    <row r="246">
      <c r="A246" s="49"/>
    </row>
    <row r="247">
      <c r="A247" s="49"/>
    </row>
    <row r="248">
      <c r="A248" s="49"/>
    </row>
    <row r="249">
      <c r="A249" s="49"/>
    </row>
    <row r="250">
      <c r="A250" s="49"/>
    </row>
    <row r="251">
      <c r="A251" s="49"/>
    </row>
    <row r="252">
      <c r="A252" s="49"/>
    </row>
    <row r="253">
      <c r="A253" s="49"/>
    </row>
    <row r="254">
      <c r="A254" s="49"/>
    </row>
    <row r="255">
      <c r="A255" s="49"/>
    </row>
    <row r="256">
      <c r="A256" s="49"/>
    </row>
    <row r="257">
      <c r="A257" s="49"/>
    </row>
    <row r="258">
      <c r="A258" s="49"/>
    </row>
    <row r="259">
      <c r="A259" s="49"/>
    </row>
    <row r="260">
      <c r="A260" s="49"/>
    </row>
    <row r="261">
      <c r="A261" s="49"/>
    </row>
    <row r="262">
      <c r="A262" s="49"/>
    </row>
    <row r="263">
      <c r="A263" s="49"/>
    </row>
    <row r="264">
      <c r="A264" s="49"/>
    </row>
    <row r="265">
      <c r="A265" s="49"/>
    </row>
    <row r="266">
      <c r="A266" s="49"/>
    </row>
    <row r="267">
      <c r="A267" s="49"/>
    </row>
    <row r="268">
      <c r="A268" s="49"/>
    </row>
    <row r="269">
      <c r="A269" s="49"/>
    </row>
    <row r="270">
      <c r="A270" s="49"/>
    </row>
    <row r="271">
      <c r="A271" s="49"/>
    </row>
    <row r="272">
      <c r="A272" s="49"/>
    </row>
    <row r="273">
      <c r="A273" s="49"/>
    </row>
    <row r="274">
      <c r="A274" s="49"/>
    </row>
    <row r="275">
      <c r="A275" s="49"/>
    </row>
    <row r="276">
      <c r="A276" s="49"/>
    </row>
    <row r="277">
      <c r="A277" s="49"/>
    </row>
    <row r="278">
      <c r="A278" s="49"/>
    </row>
    <row r="279">
      <c r="A279" s="49"/>
    </row>
    <row r="280">
      <c r="A280" s="49"/>
    </row>
    <row r="281">
      <c r="A281" s="49"/>
    </row>
    <row r="282">
      <c r="A282" s="49"/>
    </row>
    <row r="283">
      <c r="A283" s="49"/>
    </row>
    <row r="284">
      <c r="A284" s="49"/>
    </row>
    <row r="285">
      <c r="A285" s="49"/>
    </row>
    <row r="286">
      <c r="A286" s="49"/>
    </row>
    <row r="287">
      <c r="A287" s="49"/>
    </row>
    <row r="288">
      <c r="A288" s="49"/>
    </row>
    <row r="289">
      <c r="A289" s="49"/>
    </row>
    <row r="290">
      <c r="A290" s="49"/>
    </row>
    <row r="291">
      <c r="A291" s="49"/>
    </row>
    <row r="292">
      <c r="A292" s="49"/>
    </row>
    <row r="293">
      <c r="A293" s="49"/>
    </row>
    <row r="294">
      <c r="A294" s="49"/>
    </row>
    <row r="295">
      <c r="A295" s="49"/>
    </row>
    <row r="296">
      <c r="A296" s="49"/>
    </row>
    <row r="297">
      <c r="A297" s="49"/>
    </row>
    <row r="298">
      <c r="A298" s="49"/>
    </row>
    <row r="299">
      <c r="A299" s="49"/>
    </row>
    <row r="300">
      <c r="A300" s="49"/>
    </row>
    <row r="301">
      <c r="A301" s="49"/>
    </row>
    <row r="302">
      <c r="A302" s="49"/>
    </row>
    <row r="303">
      <c r="A303" s="49"/>
    </row>
    <row r="304">
      <c r="A304" s="49"/>
    </row>
    <row r="305">
      <c r="A305" s="49"/>
    </row>
    <row r="306">
      <c r="A306" s="49"/>
    </row>
    <row r="307">
      <c r="A307" s="49"/>
    </row>
    <row r="308">
      <c r="A308" s="49"/>
    </row>
    <row r="309">
      <c r="A309" s="49"/>
    </row>
    <row r="310">
      <c r="A310" s="49"/>
    </row>
    <row r="311">
      <c r="A311" s="49"/>
    </row>
    <row r="312">
      <c r="A312" s="49"/>
    </row>
    <row r="313">
      <c r="A313" s="49"/>
    </row>
    <row r="314">
      <c r="A314" s="49"/>
    </row>
    <row r="315">
      <c r="A315" s="49"/>
    </row>
    <row r="316">
      <c r="A316" s="49"/>
    </row>
    <row r="317">
      <c r="A317" s="49"/>
    </row>
    <row r="318">
      <c r="A318" s="49"/>
    </row>
    <row r="319">
      <c r="A319" s="49"/>
    </row>
    <row r="320">
      <c r="A320" s="49"/>
    </row>
    <row r="321">
      <c r="A321" s="49"/>
    </row>
    <row r="322">
      <c r="A322" s="49"/>
    </row>
    <row r="323">
      <c r="A323" s="49"/>
    </row>
    <row r="324">
      <c r="A324" s="49"/>
    </row>
    <row r="325">
      <c r="A325" s="49"/>
    </row>
    <row r="326">
      <c r="A326" s="49"/>
    </row>
    <row r="327">
      <c r="A327" s="49"/>
    </row>
    <row r="328">
      <c r="A328" s="49"/>
    </row>
    <row r="329">
      <c r="A329" s="49"/>
    </row>
    <row r="330">
      <c r="A330" s="49"/>
    </row>
    <row r="331">
      <c r="A331" s="49"/>
    </row>
    <row r="332">
      <c r="A332" s="49"/>
    </row>
    <row r="333">
      <c r="A333" s="49"/>
    </row>
    <row r="334">
      <c r="A334" s="49"/>
    </row>
    <row r="335">
      <c r="A335" s="49"/>
    </row>
    <row r="336">
      <c r="A336" s="49"/>
    </row>
    <row r="337">
      <c r="A337" s="49"/>
    </row>
    <row r="338">
      <c r="A338" s="49"/>
    </row>
    <row r="339">
      <c r="A339" s="49"/>
    </row>
    <row r="340">
      <c r="A340" s="49"/>
    </row>
    <row r="341">
      <c r="A341" s="49"/>
    </row>
    <row r="342">
      <c r="A342" s="49"/>
    </row>
    <row r="343">
      <c r="A343" s="49"/>
    </row>
    <row r="344">
      <c r="A344" s="49"/>
    </row>
    <row r="345">
      <c r="A345" s="49"/>
    </row>
    <row r="346">
      <c r="A346" s="49"/>
    </row>
    <row r="347">
      <c r="A347" s="49"/>
    </row>
    <row r="348">
      <c r="A348" s="49"/>
    </row>
    <row r="349">
      <c r="A349" s="49"/>
    </row>
    <row r="350">
      <c r="A350" s="49"/>
    </row>
    <row r="351">
      <c r="A351" s="49"/>
    </row>
    <row r="352">
      <c r="A352" s="49"/>
    </row>
    <row r="353">
      <c r="A353" s="49"/>
    </row>
    <row r="354">
      <c r="A354" s="49"/>
    </row>
    <row r="355">
      <c r="A355" s="49"/>
    </row>
    <row r="356">
      <c r="A356" s="49"/>
    </row>
    <row r="357">
      <c r="A357" s="49"/>
    </row>
    <row r="358">
      <c r="A358" s="49"/>
    </row>
    <row r="359">
      <c r="A359" s="49"/>
    </row>
    <row r="360">
      <c r="A360" s="49"/>
    </row>
    <row r="361">
      <c r="A361" s="49"/>
    </row>
    <row r="362">
      <c r="A362" s="49"/>
    </row>
    <row r="363">
      <c r="A363" s="49"/>
    </row>
    <row r="364">
      <c r="A364" s="49"/>
    </row>
    <row r="365">
      <c r="A365" s="49"/>
    </row>
    <row r="366">
      <c r="A366" s="49"/>
    </row>
    <row r="367">
      <c r="A367" s="49"/>
    </row>
    <row r="368">
      <c r="A368" s="49"/>
    </row>
    <row r="369">
      <c r="A369" s="49"/>
    </row>
    <row r="370">
      <c r="A370" s="49"/>
    </row>
    <row r="371">
      <c r="A371" s="49"/>
    </row>
    <row r="372">
      <c r="A372" s="49"/>
    </row>
    <row r="373">
      <c r="A373" s="49"/>
    </row>
    <row r="374">
      <c r="A374" s="49"/>
    </row>
    <row r="375">
      <c r="A375" s="49"/>
    </row>
    <row r="376">
      <c r="A376" s="49"/>
    </row>
    <row r="377">
      <c r="A377" s="49"/>
    </row>
    <row r="378">
      <c r="A378" s="49"/>
    </row>
    <row r="379">
      <c r="A379" s="49"/>
    </row>
    <row r="380">
      <c r="A380" s="49"/>
    </row>
    <row r="381">
      <c r="A381" s="49"/>
    </row>
    <row r="382">
      <c r="A382" s="49"/>
    </row>
    <row r="383">
      <c r="A383" s="49"/>
    </row>
    <row r="384">
      <c r="A384" s="49"/>
    </row>
    <row r="385">
      <c r="A385" s="49"/>
    </row>
    <row r="386">
      <c r="A386" s="49"/>
    </row>
    <row r="387">
      <c r="A387" s="49"/>
    </row>
    <row r="388">
      <c r="A388" s="49"/>
    </row>
    <row r="389">
      <c r="A389" s="49"/>
    </row>
    <row r="390">
      <c r="A390" s="49"/>
    </row>
    <row r="391">
      <c r="A391" s="49"/>
    </row>
    <row r="392">
      <c r="A392" s="49"/>
    </row>
    <row r="393">
      <c r="A393" s="49"/>
    </row>
    <row r="394">
      <c r="A394" s="49"/>
    </row>
    <row r="395">
      <c r="A395" s="49"/>
    </row>
    <row r="396">
      <c r="A396" s="49"/>
    </row>
    <row r="397">
      <c r="A397" s="49"/>
    </row>
    <row r="398">
      <c r="A398" s="49"/>
    </row>
    <row r="399">
      <c r="A399" s="49"/>
    </row>
    <row r="400">
      <c r="A400" s="49"/>
    </row>
    <row r="401">
      <c r="A401" s="49"/>
    </row>
    <row r="402">
      <c r="A402" s="49"/>
    </row>
    <row r="403">
      <c r="A403" s="49"/>
    </row>
    <row r="404">
      <c r="A404" s="49"/>
    </row>
    <row r="405">
      <c r="A405" s="49"/>
    </row>
    <row r="406">
      <c r="A406" s="49"/>
    </row>
    <row r="407">
      <c r="A407" s="49"/>
    </row>
    <row r="408">
      <c r="A408" s="49"/>
    </row>
    <row r="409">
      <c r="A409" s="49"/>
    </row>
    <row r="410">
      <c r="A410" s="49"/>
    </row>
    <row r="411">
      <c r="A411" s="49"/>
    </row>
    <row r="412">
      <c r="A412" s="49"/>
    </row>
    <row r="413">
      <c r="A413" s="49"/>
    </row>
    <row r="414">
      <c r="A414" s="49"/>
    </row>
    <row r="415">
      <c r="A415" s="49"/>
    </row>
    <row r="416">
      <c r="A416" s="49"/>
    </row>
    <row r="417">
      <c r="A417" s="49"/>
    </row>
    <row r="418">
      <c r="A418" s="49"/>
    </row>
    <row r="419">
      <c r="A419" s="49"/>
    </row>
    <row r="420">
      <c r="A420" s="49"/>
    </row>
    <row r="421">
      <c r="A421" s="49"/>
    </row>
    <row r="422">
      <c r="A422" s="49"/>
    </row>
    <row r="423">
      <c r="A423" s="49"/>
    </row>
    <row r="424">
      <c r="A424" s="49"/>
    </row>
    <row r="425">
      <c r="A425" s="49"/>
    </row>
    <row r="426">
      <c r="A426" s="49"/>
    </row>
    <row r="427">
      <c r="A427" s="49"/>
    </row>
    <row r="428">
      <c r="A428" s="49"/>
    </row>
    <row r="429">
      <c r="A429" s="49"/>
    </row>
    <row r="430">
      <c r="A430" s="49"/>
    </row>
    <row r="431">
      <c r="A431" s="49"/>
    </row>
    <row r="432">
      <c r="A432" s="49"/>
    </row>
    <row r="433">
      <c r="A433" s="49"/>
    </row>
    <row r="434">
      <c r="A434" s="49"/>
    </row>
    <row r="435">
      <c r="A435" s="49"/>
    </row>
    <row r="436">
      <c r="A436" s="49"/>
    </row>
    <row r="437">
      <c r="A437" s="49"/>
    </row>
    <row r="438">
      <c r="A438" s="49"/>
    </row>
    <row r="439">
      <c r="A439" s="49"/>
    </row>
    <row r="440">
      <c r="A440" s="49"/>
    </row>
    <row r="441">
      <c r="A441" s="49"/>
    </row>
    <row r="442">
      <c r="A442" s="49"/>
    </row>
    <row r="443">
      <c r="A443" s="49"/>
    </row>
    <row r="444">
      <c r="A444" s="49"/>
    </row>
    <row r="445">
      <c r="A445" s="49"/>
    </row>
    <row r="446">
      <c r="A446" s="49"/>
    </row>
    <row r="447">
      <c r="A447" s="49"/>
    </row>
    <row r="448">
      <c r="A448" s="49"/>
    </row>
    <row r="449">
      <c r="A449" s="49"/>
    </row>
    <row r="450">
      <c r="A450" s="49"/>
    </row>
    <row r="451">
      <c r="A451" s="49"/>
    </row>
    <row r="452">
      <c r="A452" s="49"/>
    </row>
    <row r="453">
      <c r="A453" s="49"/>
    </row>
    <row r="454">
      <c r="A454" s="49"/>
    </row>
    <row r="455">
      <c r="A455" s="49"/>
    </row>
    <row r="456">
      <c r="A456" s="49"/>
    </row>
    <row r="457">
      <c r="A457" s="49"/>
    </row>
    <row r="458">
      <c r="A458" s="49"/>
    </row>
    <row r="459">
      <c r="A459" s="49"/>
    </row>
    <row r="460">
      <c r="A460" s="49"/>
    </row>
    <row r="461">
      <c r="A461" s="49"/>
    </row>
    <row r="462">
      <c r="A462" s="49"/>
    </row>
    <row r="463">
      <c r="A463" s="49"/>
    </row>
    <row r="464">
      <c r="A464" s="49"/>
    </row>
    <row r="465">
      <c r="A465" s="49"/>
    </row>
    <row r="466">
      <c r="A466" s="49"/>
    </row>
    <row r="467">
      <c r="A467" s="49"/>
    </row>
    <row r="468">
      <c r="A468" s="49"/>
    </row>
    <row r="469">
      <c r="A469" s="49"/>
    </row>
    <row r="470">
      <c r="A470" s="49"/>
    </row>
    <row r="471">
      <c r="A471" s="49"/>
    </row>
    <row r="472">
      <c r="A472" s="49"/>
    </row>
    <row r="473">
      <c r="A473" s="49"/>
    </row>
    <row r="474">
      <c r="A474" s="49"/>
    </row>
    <row r="475">
      <c r="A475" s="49"/>
    </row>
    <row r="476">
      <c r="A476" s="49"/>
    </row>
    <row r="477">
      <c r="A477" s="49"/>
    </row>
    <row r="478">
      <c r="A478" s="49"/>
    </row>
    <row r="479">
      <c r="A479" s="49"/>
    </row>
    <row r="480">
      <c r="A480" s="49"/>
    </row>
    <row r="481">
      <c r="A481" s="49"/>
    </row>
    <row r="482">
      <c r="A482" s="49"/>
    </row>
    <row r="483">
      <c r="A483" s="49"/>
    </row>
    <row r="484">
      <c r="A484" s="49"/>
    </row>
    <row r="485">
      <c r="A485" s="49"/>
    </row>
    <row r="486">
      <c r="A486" s="49"/>
    </row>
    <row r="487">
      <c r="A487" s="49"/>
    </row>
    <row r="488">
      <c r="A488" s="49"/>
    </row>
    <row r="489">
      <c r="A489" s="49"/>
    </row>
    <row r="490">
      <c r="A490" s="49"/>
    </row>
    <row r="491">
      <c r="A491" s="49"/>
    </row>
    <row r="492">
      <c r="A492" s="49"/>
    </row>
    <row r="493">
      <c r="A493" s="49"/>
    </row>
    <row r="494">
      <c r="A494" s="49"/>
    </row>
    <row r="495">
      <c r="A495" s="49"/>
    </row>
    <row r="496">
      <c r="A496" s="49"/>
    </row>
    <row r="497">
      <c r="A497" s="49"/>
    </row>
    <row r="498">
      <c r="A498" s="49"/>
    </row>
    <row r="499">
      <c r="A499" s="49"/>
    </row>
    <row r="500">
      <c r="A500" s="49"/>
    </row>
    <row r="501">
      <c r="A501" s="49"/>
    </row>
    <row r="502">
      <c r="A502" s="49"/>
    </row>
    <row r="503">
      <c r="A503" s="49"/>
    </row>
    <row r="504">
      <c r="A504" s="49"/>
    </row>
    <row r="505">
      <c r="A505" s="49"/>
    </row>
    <row r="506">
      <c r="A506" s="49"/>
    </row>
    <row r="507">
      <c r="A507" s="49"/>
    </row>
    <row r="508">
      <c r="A508" s="49"/>
    </row>
    <row r="509">
      <c r="A509" s="49"/>
    </row>
    <row r="510">
      <c r="A510" s="49"/>
    </row>
    <row r="511">
      <c r="A511" s="49"/>
    </row>
    <row r="512">
      <c r="A512" s="49"/>
    </row>
    <row r="513">
      <c r="A513" s="49"/>
    </row>
    <row r="514">
      <c r="A514" s="49"/>
    </row>
    <row r="515">
      <c r="A515" s="49"/>
    </row>
    <row r="516">
      <c r="A516" s="49"/>
    </row>
    <row r="517">
      <c r="A517" s="49"/>
    </row>
    <row r="518">
      <c r="A518" s="49"/>
    </row>
    <row r="519">
      <c r="A519" s="49"/>
    </row>
    <row r="520">
      <c r="A520" s="49"/>
    </row>
    <row r="521">
      <c r="A521" s="49"/>
    </row>
    <row r="522">
      <c r="A522" s="49"/>
    </row>
    <row r="523">
      <c r="A523" s="49"/>
    </row>
    <row r="524">
      <c r="A524" s="49"/>
    </row>
    <row r="525">
      <c r="A525" s="49"/>
    </row>
    <row r="526">
      <c r="A526" s="49"/>
    </row>
    <row r="527">
      <c r="A527" s="49"/>
    </row>
    <row r="528">
      <c r="A528" s="49"/>
    </row>
    <row r="529">
      <c r="A529" s="49"/>
    </row>
    <row r="530">
      <c r="A530" s="49"/>
    </row>
    <row r="531">
      <c r="A531" s="49"/>
    </row>
    <row r="532">
      <c r="A532" s="49"/>
    </row>
    <row r="533">
      <c r="A533" s="49"/>
    </row>
    <row r="534">
      <c r="A534" s="49"/>
    </row>
    <row r="535">
      <c r="A535" s="49"/>
    </row>
    <row r="536">
      <c r="A536" s="49"/>
    </row>
    <row r="537">
      <c r="A537" s="49"/>
    </row>
    <row r="538">
      <c r="A538" s="49"/>
    </row>
    <row r="539">
      <c r="A539" s="49"/>
    </row>
    <row r="540">
      <c r="A540" s="49"/>
    </row>
    <row r="541">
      <c r="A541" s="49"/>
    </row>
    <row r="542">
      <c r="A542" s="49"/>
    </row>
    <row r="543">
      <c r="A543" s="49"/>
    </row>
    <row r="544">
      <c r="A544" s="49"/>
    </row>
    <row r="545">
      <c r="A545" s="49"/>
    </row>
    <row r="546">
      <c r="A546" s="49"/>
    </row>
    <row r="547">
      <c r="A547" s="49"/>
    </row>
    <row r="548">
      <c r="A548" s="49"/>
    </row>
    <row r="549">
      <c r="A549" s="49"/>
    </row>
    <row r="550">
      <c r="A550" s="49"/>
    </row>
    <row r="551">
      <c r="A551" s="49"/>
    </row>
    <row r="552">
      <c r="A552" s="49"/>
    </row>
    <row r="553">
      <c r="A553" s="49"/>
    </row>
    <row r="554">
      <c r="A554" s="49"/>
    </row>
    <row r="555">
      <c r="A555" s="49"/>
    </row>
    <row r="556">
      <c r="A556" s="49"/>
    </row>
    <row r="557">
      <c r="A557" s="49"/>
    </row>
    <row r="558">
      <c r="A558" s="49"/>
    </row>
    <row r="559">
      <c r="A559" s="49"/>
    </row>
    <row r="560">
      <c r="A560" s="49"/>
    </row>
    <row r="561">
      <c r="A561" s="49"/>
    </row>
    <row r="562">
      <c r="A562" s="49"/>
    </row>
    <row r="563">
      <c r="A563" s="49"/>
    </row>
    <row r="564">
      <c r="A564" s="49"/>
    </row>
    <row r="565">
      <c r="A565" s="49"/>
    </row>
    <row r="566">
      <c r="A566" s="49"/>
    </row>
    <row r="567">
      <c r="A567" s="49"/>
    </row>
    <row r="568">
      <c r="A568" s="49"/>
    </row>
    <row r="569">
      <c r="A569" s="49"/>
    </row>
    <row r="570">
      <c r="A570" s="49"/>
    </row>
    <row r="571">
      <c r="A571" s="49"/>
    </row>
    <row r="572">
      <c r="A572" s="49"/>
    </row>
    <row r="573">
      <c r="A573" s="49"/>
    </row>
    <row r="574">
      <c r="A574" s="49"/>
    </row>
    <row r="575">
      <c r="A575" s="49"/>
    </row>
    <row r="576">
      <c r="A576" s="49"/>
    </row>
    <row r="577">
      <c r="A577" s="49"/>
    </row>
    <row r="578">
      <c r="A578" s="49"/>
    </row>
    <row r="579">
      <c r="A579" s="49"/>
    </row>
    <row r="580">
      <c r="A580" s="49"/>
    </row>
    <row r="581">
      <c r="A581" s="49"/>
    </row>
    <row r="582">
      <c r="A582" s="49"/>
    </row>
    <row r="583">
      <c r="A583" s="49"/>
    </row>
    <row r="584">
      <c r="A584" s="49"/>
    </row>
    <row r="585">
      <c r="A585" s="49"/>
    </row>
    <row r="586">
      <c r="A586" s="49"/>
    </row>
    <row r="587">
      <c r="A587" s="49"/>
    </row>
    <row r="588">
      <c r="A588" s="49"/>
    </row>
    <row r="589">
      <c r="A589" s="49"/>
    </row>
    <row r="590">
      <c r="A590" s="49"/>
    </row>
    <row r="591">
      <c r="A591" s="49"/>
    </row>
    <row r="592">
      <c r="A592" s="49"/>
    </row>
    <row r="593">
      <c r="A593" s="49"/>
    </row>
    <row r="594">
      <c r="A594" s="49"/>
    </row>
    <row r="595">
      <c r="A595" s="49"/>
    </row>
    <row r="596">
      <c r="A596" s="49"/>
    </row>
    <row r="597">
      <c r="A597" s="49"/>
    </row>
    <row r="598">
      <c r="A598" s="49"/>
    </row>
    <row r="599">
      <c r="A599" s="49"/>
    </row>
    <row r="600">
      <c r="A600" s="49"/>
    </row>
    <row r="601">
      <c r="A601" s="49"/>
    </row>
    <row r="602">
      <c r="A602" s="49"/>
    </row>
    <row r="603">
      <c r="A603" s="49"/>
    </row>
    <row r="604">
      <c r="A604" s="49"/>
    </row>
    <row r="605">
      <c r="A605" s="49"/>
    </row>
    <row r="606">
      <c r="A606" s="49"/>
    </row>
    <row r="607">
      <c r="A607" s="49"/>
    </row>
    <row r="608">
      <c r="A608" s="49"/>
    </row>
    <row r="609">
      <c r="A609" s="49"/>
    </row>
    <row r="610">
      <c r="A610" s="49"/>
    </row>
    <row r="611">
      <c r="A611" s="49"/>
    </row>
    <row r="612">
      <c r="A612" s="49"/>
    </row>
    <row r="613">
      <c r="A613" s="49"/>
    </row>
    <row r="614">
      <c r="A614" s="49"/>
    </row>
    <row r="615">
      <c r="A615" s="49"/>
    </row>
    <row r="616">
      <c r="A616" s="49"/>
    </row>
    <row r="617">
      <c r="A617" s="49"/>
    </row>
    <row r="618">
      <c r="A618" s="49"/>
    </row>
    <row r="619">
      <c r="A619" s="49"/>
    </row>
    <row r="620">
      <c r="A620" s="49"/>
    </row>
    <row r="621">
      <c r="A621" s="49"/>
    </row>
    <row r="622">
      <c r="A622" s="49"/>
    </row>
    <row r="623">
      <c r="A623" s="49"/>
    </row>
    <row r="624">
      <c r="A624" s="49"/>
    </row>
    <row r="625">
      <c r="A625" s="49"/>
    </row>
    <row r="626">
      <c r="A626" s="49"/>
    </row>
    <row r="627">
      <c r="A627" s="49"/>
    </row>
    <row r="628">
      <c r="A628" s="49"/>
    </row>
    <row r="629">
      <c r="A629" s="49"/>
    </row>
    <row r="630">
      <c r="A630" s="49"/>
    </row>
    <row r="631">
      <c r="A631" s="49"/>
    </row>
    <row r="632">
      <c r="A632" s="49"/>
    </row>
    <row r="633">
      <c r="A633" s="49"/>
    </row>
    <row r="634">
      <c r="A634" s="49"/>
    </row>
    <row r="635">
      <c r="A635" s="49"/>
    </row>
    <row r="636">
      <c r="A636" s="49"/>
    </row>
    <row r="637">
      <c r="A637" s="49"/>
    </row>
    <row r="638">
      <c r="A638" s="49"/>
    </row>
    <row r="639">
      <c r="A639" s="49"/>
    </row>
    <row r="640">
      <c r="A640" s="49"/>
    </row>
    <row r="641">
      <c r="A641" s="49"/>
    </row>
    <row r="642">
      <c r="A642" s="49"/>
    </row>
    <row r="643">
      <c r="A643" s="49"/>
    </row>
    <row r="644">
      <c r="A644" s="49"/>
    </row>
    <row r="645">
      <c r="A645" s="49"/>
    </row>
    <row r="646">
      <c r="A646" s="49"/>
    </row>
    <row r="647">
      <c r="A647" s="49"/>
    </row>
    <row r="648">
      <c r="A648" s="49"/>
    </row>
    <row r="649">
      <c r="A649" s="49"/>
    </row>
    <row r="650">
      <c r="A650" s="49"/>
    </row>
    <row r="651">
      <c r="A651" s="49"/>
    </row>
    <row r="652">
      <c r="A652" s="49"/>
    </row>
    <row r="653">
      <c r="A653" s="49"/>
    </row>
    <row r="654">
      <c r="A654" s="49"/>
    </row>
    <row r="655">
      <c r="A655" s="49"/>
    </row>
    <row r="656">
      <c r="A656" s="49"/>
    </row>
    <row r="657">
      <c r="A657" s="49"/>
    </row>
    <row r="658">
      <c r="A658" s="49"/>
    </row>
    <row r="659">
      <c r="A659" s="49"/>
    </row>
    <row r="660">
      <c r="A660" s="49"/>
    </row>
    <row r="661">
      <c r="A661" s="49"/>
    </row>
    <row r="662">
      <c r="A662" s="49"/>
    </row>
    <row r="663">
      <c r="A663" s="49"/>
    </row>
    <row r="664">
      <c r="A664" s="49"/>
    </row>
    <row r="665">
      <c r="A665" s="49"/>
    </row>
    <row r="666">
      <c r="A666" s="49"/>
    </row>
    <row r="667">
      <c r="A667" s="49"/>
    </row>
    <row r="668">
      <c r="A668" s="49"/>
    </row>
    <row r="669">
      <c r="A669" s="49"/>
    </row>
    <row r="670">
      <c r="A670" s="49"/>
    </row>
    <row r="671">
      <c r="A671" s="49"/>
    </row>
    <row r="672">
      <c r="A672" s="49"/>
    </row>
    <row r="673">
      <c r="A673" s="49"/>
    </row>
    <row r="674">
      <c r="A674" s="49"/>
    </row>
    <row r="675">
      <c r="A675" s="49"/>
    </row>
    <row r="676">
      <c r="A676" s="49"/>
    </row>
    <row r="677">
      <c r="A677" s="49"/>
    </row>
    <row r="678">
      <c r="A678" s="49"/>
    </row>
    <row r="679">
      <c r="A679" s="49"/>
    </row>
    <row r="680">
      <c r="A680" s="49"/>
    </row>
    <row r="681">
      <c r="A681" s="49"/>
    </row>
    <row r="682">
      <c r="A682" s="49"/>
    </row>
    <row r="683">
      <c r="A683" s="49"/>
    </row>
    <row r="684">
      <c r="A684" s="49"/>
    </row>
    <row r="685">
      <c r="A685" s="49"/>
    </row>
    <row r="686">
      <c r="A686" s="49"/>
    </row>
    <row r="687">
      <c r="A687" s="49"/>
    </row>
    <row r="688">
      <c r="A688" s="49"/>
    </row>
    <row r="689">
      <c r="A689" s="49"/>
    </row>
    <row r="690">
      <c r="A690" s="49"/>
    </row>
    <row r="691">
      <c r="A691" s="49"/>
    </row>
    <row r="692">
      <c r="A692" s="49"/>
    </row>
    <row r="693">
      <c r="A693" s="49"/>
    </row>
    <row r="694">
      <c r="A694" s="49"/>
    </row>
    <row r="695">
      <c r="A695" s="49"/>
    </row>
    <row r="696">
      <c r="A696" s="49"/>
    </row>
    <row r="697">
      <c r="A697" s="49"/>
    </row>
    <row r="698">
      <c r="A698" s="49"/>
    </row>
    <row r="699">
      <c r="A699" s="49"/>
    </row>
    <row r="700">
      <c r="A700" s="49"/>
    </row>
    <row r="701">
      <c r="A701" s="49"/>
    </row>
    <row r="702">
      <c r="A702" s="49"/>
    </row>
    <row r="703">
      <c r="A703" s="49"/>
    </row>
    <row r="704">
      <c r="A704" s="49"/>
    </row>
    <row r="705">
      <c r="A705" s="49"/>
    </row>
    <row r="706">
      <c r="A706" s="49"/>
    </row>
    <row r="707">
      <c r="A707" s="49"/>
    </row>
    <row r="708">
      <c r="A708" s="49"/>
    </row>
    <row r="709">
      <c r="A709" s="49"/>
    </row>
    <row r="710">
      <c r="A710" s="49"/>
    </row>
    <row r="711">
      <c r="A711" s="49"/>
    </row>
    <row r="712">
      <c r="A712" s="49"/>
    </row>
    <row r="713">
      <c r="A713" s="49"/>
    </row>
    <row r="714">
      <c r="A714" s="49"/>
    </row>
    <row r="715">
      <c r="A715" s="49"/>
    </row>
    <row r="716">
      <c r="A716" s="49"/>
    </row>
    <row r="717">
      <c r="A717" s="49"/>
    </row>
    <row r="718">
      <c r="A718" s="49"/>
    </row>
    <row r="719">
      <c r="A719" s="49"/>
    </row>
    <row r="720">
      <c r="A720" s="49"/>
    </row>
    <row r="721">
      <c r="A721" s="49"/>
    </row>
    <row r="722">
      <c r="A722" s="49"/>
    </row>
    <row r="723">
      <c r="A723" s="49"/>
    </row>
    <row r="724">
      <c r="A724" s="49"/>
    </row>
    <row r="725">
      <c r="A725" s="49"/>
    </row>
    <row r="726">
      <c r="A726" s="49"/>
    </row>
    <row r="727">
      <c r="A727" s="49"/>
    </row>
    <row r="728">
      <c r="A728" s="49"/>
    </row>
    <row r="729">
      <c r="A729" s="49"/>
    </row>
    <row r="730">
      <c r="A730" s="49"/>
    </row>
    <row r="731">
      <c r="A731" s="49"/>
    </row>
    <row r="732">
      <c r="A732" s="49"/>
    </row>
    <row r="733">
      <c r="A733" s="49"/>
    </row>
    <row r="734">
      <c r="A734" s="49"/>
    </row>
    <row r="735">
      <c r="A735" s="49"/>
    </row>
    <row r="736">
      <c r="A736" s="49"/>
    </row>
    <row r="737">
      <c r="A737" s="49"/>
    </row>
    <row r="738">
      <c r="A738" s="49"/>
    </row>
    <row r="739">
      <c r="A739" s="49"/>
    </row>
    <row r="740">
      <c r="A740" s="49"/>
    </row>
    <row r="741">
      <c r="A741" s="49"/>
    </row>
    <row r="742">
      <c r="A742" s="49"/>
    </row>
    <row r="743">
      <c r="A743" s="49"/>
    </row>
    <row r="744">
      <c r="A744" s="49"/>
    </row>
    <row r="745">
      <c r="A745" s="49"/>
    </row>
    <row r="746">
      <c r="A746" s="49"/>
    </row>
    <row r="747">
      <c r="A747" s="49"/>
    </row>
    <row r="748">
      <c r="A748" s="49"/>
    </row>
    <row r="749">
      <c r="A749" s="49"/>
    </row>
    <row r="750">
      <c r="A750" s="49"/>
    </row>
    <row r="751">
      <c r="A751" s="49"/>
    </row>
    <row r="752">
      <c r="A752" s="49"/>
    </row>
    <row r="753">
      <c r="A753" s="49"/>
    </row>
    <row r="754">
      <c r="A754" s="49"/>
    </row>
    <row r="755">
      <c r="A755" s="49"/>
    </row>
    <row r="756">
      <c r="A756" s="49"/>
    </row>
    <row r="757">
      <c r="A757" s="49"/>
    </row>
    <row r="758">
      <c r="A758" s="49"/>
    </row>
    <row r="759">
      <c r="A759" s="49"/>
    </row>
    <row r="760">
      <c r="A760" s="49"/>
    </row>
    <row r="761">
      <c r="A761" s="49"/>
    </row>
    <row r="762">
      <c r="A762" s="49"/>
    </row>
    <row r="763">
      <c r="A763" s="49"/>
    </row>
    <row r="764">
      <c r="A764" s="49"/>
    </row>
    <row r="765">
      <c r="A765" s="49"/>
    </row>
    <row r="766">
      <c r="A766" s="49"/>
    </row>
    <row r="767">
      <c r="A767" s="49"/>
    </row>
    <row r="768">
      <c r="A768" s="49"/>
    </row>
    <row r="769">
      <c r="A769" s="49"/>
    </row>
    <row r="770">
      <c r="A770" s="49"/>
    </row>
    <row r="771">
      <c r="A771" s="49"/>
    </row>
    <row r="772">
      <c r="A772" s="49"/>
    </row>
    <row r="773">
      <c r="A773" s="49"/>
    </row>
    <row r="774">
      <c r="A774" s="49"/>
    </row>
    <row r="775">
      <c r="A775" s="49"/>
    </row>
    <row r="776">
      <c r="A776" s="49"/>
    </row>
    <row r="777">
      <c r="A777" s="49"/>
    </row>
    <row r="778">
      <c r="A778" s="49"/>
    </row>
    <row r="779">
      <c r="A779" s="49"/>
    </row>
    <row r="780">
      <c r="A780" s="49"/>
    </row>
    <row r="781">
      <c r="A781" s="49"/>
    </row>
    <row r="782">
      <c r="A782" s="49"/>
    </row>
    <row r="783">
      <c r="A783" s="49"/>
    </row>
    <row r="784">
      <c r="A784" s="49"/>
    </row>
    <row r="785">
      <c r="A785" s="49"/>
    </row>
    <row r="786">
      <c r="A786" s="49"/>
    </row>
    <row r="787">
      <c r="A787" s="49"/>
    </row>
    <row r="788">
      <c r="A788" s="49"/>
    </row>
    <row r="789">
      <c r="A789" s="49"/>
    </row>
    <row r="790">
      <c r="A790" s="49"/>
    </row>
    <row r="791">
      <c r="A791" s="49"/>
    </row>
    <row r="792">
      <c r="A792" s="49"/>
    </row>
    <row r="793">
      <c r="A793" s="49"/>
    </row>
    <row r="794">
      <c r="A794" s="49"/>
    </row>
    <row r="795">
      <c r="A795" s="49"/>
    </row>
    <row r="796">
      <c r="A796" s="49"/>
    </row>
    <row r="797">
      <c r="A797" s="49"/>
    </row>
    <row r="798">
      <c r="A798" s="49"/>
    </row>
    <row r="799">
      <c r="A799" s="49"/>
    </row>
    <row r="800">
      <c r="A800" s="49"/>
    </row>
    <row r="801">
      <c r="A801" s="49"/>
    </row>
    <row r="802">
      <c r="A802" s="49"/>
    </row>
    <row r="803">
      <c r="A803" s="49"/>
    </row>
    <row r="804">
      <c r="A804" s="49"/>
    </row>
    <row r="805">
      <c r="A805" s="49"/>
    </row>
    <row r="806">
      <c r="A806" s="49"/>
    </row>
    <row r="807">
      <c r="A807" s="49"/>
    </row>
    <row r="808">
      <c r="A808" s="49"/>
    </row>
    <row r="809">
      <c r="A809" s="49"/>
    </row>
    <row r="810">
      <c r="A810" s="49"/>
    </row>
    <row r="811">
      <c r="A811" s="49"/>
    </row>
    <row r="812">
      <c r="A812" s="49"/>
    </row>
    <row r="813">
      <c r="A813" s="49"/>
    </row>
    <row r="814">
      <c r="A814" s="49"/>
    </row>
    <row r="815">
      <c r="A815" s="49"/>
    </row>
    <row r="816">
      <c r="A816" s="49"/>
    </row>
    <row r="817">
      <c r="A817" s="49"/>
    </row>
    <row r="818">
      <c r="A818" s="49"/>
    </row>
    <row r="819">
      <c r="A819" s="49"/>
    </row>
    <row r="820">
      <c r="A820" s="49"/>
    </row>
    <row r="821">
      <c r="A821" s="49"/>
    </row>
    <row r="822">
      <c r="A822" s="49"/>
    </row>
    <row r="823">
      <c r="A823" s="49"/>
    </row>
    <row r="824">
      <c r="A824" s="49"/>
    </row>
    <row r="825">
      <c r="A825" s="49"/>
    </row>
    <row r="826">
      <c r="A826" s="49"/>
    </row>
    <row r="827">
      <c r="A827" s="49"/>
    </row>
    <row r="828">
      <c r="A828" s="49"/>
    </row>
    <row r="829">
      <c r="A829" s="49"/>
    </row>
    <row r="830">
      <c r="A830" s="49"/>
    </row>
    <row r="831">
      <c r="A831" s="49"/>
    </row>
    <row r="832">
      <c r="A832" s="49"/>
    </row>
    <row r="833">
      <c r="A833" s="49"/>
    </row>
    <row r="834">
      <c r="A834" s="49"/>
    </row>
    <row r="835">
      <c r="A835" s="49"/>
    </row>
    <row r="836">
      <c r="A836" s="49"/>
    </row>
    <row r="837">
      <c r="A837" s="49"/>
    </row>
    <row r="838">
      <c r="A838" s="49"/>
    </row>
    <row r="839">
      <c r="A839" s="49"/>
    </row>
    <row r="840">
      <c r="A840" s="49"/>
    </row>
    <row r="841">
      <c r="A841" s="49"/>
    </row>
    <row r="842">
      <c r="A842" s="49"/>
    </row>
    <row r="843">
      <c r="A843" s="49"/>
    </row>
    <row r="844">
      <c r="A844" s="49"/>
    </row>
    <row r="845">
      <c r="A845" s="49"/>
    </row>
    <row r="846">
      <c r="A846" s="49"/>
    </row>
    <row r="847">
      <c r="A847" s="49"/>
    </row>
    <row r="848">
      <c r="A848" s="49"/>
    </row>
    <row r="849">
      <c r="A849" s="49"/>
    </row>
    <row r="850">
      <c r="A850" s="49"/>
    </row>
    <row r="851">
      <c r="A851" s="49"/>
    </row>
    <row r="852">
      <c r="A852" s="49"/>
    </row>
    <row r="853">
      <c r="A853" s="49"/>
    </row>
    <row r="854">
      <c r="A854" s="49"/>
    </row>
    <row r="855">
      <c r="A855" s="49"/>
    </row>
    <row r="856">
      <c r="A856" s="49"/>
    </row>
    <row r="857">
      <c r="A857" s="49"/>
    </row>
    <row r="858">
      <c r="A858" s="49"/>
    </row>
    <row r="859">
      <c r="A859" s="49"/>
    </row>
    <row r="860">
      <c r="A860" s="49"/>
    </row>
    <row r="861">
      <c r="A861" s="49"/>
    </row>
    <row r="862">
      <c r="A862" s="49"/>
    </row>
    <row r="863">
      <c r="A863" s="49"/>
    </row>
    <row r="864">
      <c r="A864" s="49"/>
    </row>
    <row r="865">
      <c r="A865" s="49"/>
    </row>
    <row r="866">
      <c r="A866" s="49"/>
    </row>
    <row r="867">
      <c r="A867" s="49"/>
    </row>
    <row r="868">
      <c r="A868" s="49"/>
    </row>
    <row r="869">
      <c r="A869" s="49"/>
    </row>
    <row r="870">
      <c r="A870" s="49"/>
    </row>
    <row r="871">
      <c r="A871" s="49"/>
    </row>
    <row r="872">
      <c r="A872" s="49"/>
    </row>
    <row r="873">
      <c r="A873" s="49"/>
    </row>
    <row r="874">
      <c r="A874" s="49"/>
    </row>
    <row r="875">
      <c r="A875" s="49"/>
    </row>
    <row r="876">
      <c r="A876" s="49"/>
    </row>
    <row r="877">
      <c r="A877" s="49"/>
    </row>
    <row r="878">
      <c r="A878" s="49"/>
    </row>
    <row r="879">
      <c r="A879" s="49"/>
    </row>
    <row r="880">
      <c r="A880" s="49"/>
    </row>
    <row r="881">
      <c r="A881" s="49"/>
    </row>
    <row r="882">
      <c r="A882" s="49"/>
    </row>
    <row r="883">
      <c r="A883" s="49"/>
    </row>
    <row r="884">
      <c r="A884" s="49"/>
    </row>
    <row r="885">
      <c r="A885" s="49"/>
    </row>
    <row r="886">
      <c r="A886" s="49"/>
    </row>
    <row r="887">
      <c r="A887" s="49"/>
    </row>
    <row r="888">
      <c r="A888" s="49"/>
    </row>
    <row r="889">
      <c r="A889" s="49"/>
    </row>
    <row r="890">
      <c r="A890" s="49"/>
    </row>
    <row r="891">
      <c r="A891" s="49"/>
    </row>
    <row r="892">
      <c r="A892" s="49"/>
    </row>
    <row r="893">
      <c r="A893" s="49"/>
    </row>
    <row r="894">
      <c r="A894" s="49"/>
    </row>
    <row r="895">
      <c r="A895" s="49"/>
    </row>
    <row r="896">
      <c r="A896" s="49"/>
    </row>
    <row r="897">
      <c r="A897" s="49"/>
    </row>
    <row r="898">
      <c r="A898" s="49"/>
    </row>
    <row r="899">
      <c r="A899" s="49"/>
    </row>
    <row r="900">
      <c r="A900" s="49"/>
    </row>
    <row r="901">
      <c r="A901" s="49"/>
    </row>
    <row r="902">
      <c r="A902" s="49"/>
    </row>
    <row r="903">
      <c r="A903" s="49"/>
    </row>
    <row r="904">
      <c r="A904" s="49"/>
    </row>
    <row r="905">
      <c r="A905" s="49"/>
    </row>
    <row r="906">
      <c r="A906" s="49"/>
    </row>
    <row r="907">
      <c r="A907" s="49"/>
    </row>
    <row r="908">
      <c r="A908" s="49"/>
    </row>
    <row r="909">
      <c r="A909" s="49"/>
    </row>
    <row r="910">
      <c r="A910" s="49"/>
    </row>
    <row r="911">
      <c r="A911" s="49"/>
    </row>
    <row r="912">
      <c r="A912" s="49"/>
    </row>
    <row r="913">
      <c r="A913" s="49"/>
    </row>
    <row r="914">
      <c r="A914" s="49"/>
    </row>
    <row r="915">
      <c r="A915" s="49"/>
    </row>
    <row r="916">
      <c r="A916" s="49"/>
    </row>
    <row r="917">
      <c r="A917" s="49"/>
    </row>
    <row r="918">
      <c r="A918" s="49"/>
    </row>
    <row r="919">
      <c r="A919" s="49"/>
    </row>
    <row r="920">
      <c r="A920" s="49"/>
    </row>
    <row r="921">
      <c r="A921" s="49"/>
    </row>
    <row r="922">
      <c r="A922" s="49"/>
    </row>
    <row r="923">
      <c r="A923" s="49"/>
    </row>
    <row r="924">
      <c r="A924" s="49"/>
    </row>
    <row r="925">
      <c r="A925" s="49"/>
    </row>
    <row r="926">
      <c r="A926" s="49"/>
    </row>
    <row r="927">
      <c r="A927" s="49"/>
    </row>
    <row r="928">
      <c r="A928" s="49"/>
    </row>
    <row r="929">
      <c r="A929" s="49"/>
    </row>
    <row r="930">
      <c r="A930" s="49"/>
    </row>
    <row r="931">
      <c r="A931" s="49"/>
    </row>
    <row r="932">
      <c r="A932" s="49"/>
    </row>
    <row r="933">
      <c r="A933" s="49"/>
    </row>
    <row r="934">
      <c r="A934" s="49"/>
    </row>
    <row r="935">
      <c r="A935" s="49"/>
    </row>
    <row r="936">
      <c r="A936" s="49"/>
    </row>
    <row r="937">
      <c r="A937" s="49"/>
    </row>
    <row r="938">
      <c r="A938" s="49"/>
    </row>
    <row r="939">
      <c r="A939" s="49"/>
    </row>
    <row r="940">
      <c r="A940" s="49"/>
    </row>
    <row r="941">
      <c r="A941" s="49"/>
    </row>
    <row r="942">
      <c r="A942" s="49"/>
    </row>
    <row r="943">
      <c r="A943" s="49"/>
    </row>
    <row r="944">
      <c r="A944" s="49"/>
    </row>
    <row r="945">
      <c r="A945" s="49"/>
    </row>
    <row r="946">
      <c r="A946" s="49"/>
    </row>
    <row r="947">
      <c r="A947" s="49"/>
    </row>
    <row r="948">
      <c r="A948" s="49"/>
    </row>
    <row r="949">
      <c r="A949" s="49"/>
    </row>
    <row r="950">
      <c r="A950" s="49"/>
    </row>
    <row r="951">
      <c r="A951" s="49"/>
    </row>
    <row r="952">
      <c r="A952" s="49"/>
    </row>
    <row r="953">
      <c r="A953" s="49"/>
    </row>
    <row r="954">
      <c r="A954" s="49"/>
    </row>
    <row r="955">
      <c r="A955" s="49"/>
    </row>
    <row r="956">
      <c r="A956" s="49"/>
    </row>
    <row r="957">
      <c r="A957" s="49"/>
    </row>
    <row r="958">
      <c r="A958" s="49"/>
    </row>
    <row r="959">
      <c r="A959" s="49"/>
    </row>
    <row r="960">
      <c r="A960" s="49"/>
    </row>
    <row r="961">
      <c r="A961" s="49"/>
    </row>
    <row r="962">
      <c r="A962" s="49"/>
    </row>
    <row r="963">
      <c r="A963" s="49"/>
    </row>
    <row r="964">
      <c r="A964" s="49"/>
    </row>
    <row r="965">
      <c r="A965" s="49"/>
    </row>
    <row r="966">
      <c r="A966" s="49"/>
    </row>
    <row r="967">
      <c r="A967" s="49"/>
    </row>
    <row r="968">
      <c r="A968" s="49"/>
    </row>
    <row r="969">
      <c r="A969" s="49"/>
    </row>
    <row r="970">
      <c r="A970" s="49"/>
    </row>
    <row r="971">
      <c r="A971" s="49"/>
    </row>
    <row r="972">
      <c r="A972" s="49"/>
    </row>
    <row r="973">
      <c r="A973" s="49"/>
    </row>
    <row r="974">
      <c r="A974" s="49"/>
    </row>
    <row r="975">
      <c r="A975" s="49"/>
    </row>
    <row r="976">
      <c r="A976" s="49"/>
    </row>
    <row r="977">
      <c r="A977" s="49"/>
    </row>
    <row r="978">
      <c r="A978" s="49"/>
    </row>
    <row r="979">
      <c r="A979" s="49"/>
    </row>
    <row r="980">
      <c r="A980" s="49"/>
    </row>
    <row r="981">
      <c r="A981" s="49"/>
    </row>
    <row r="982">
      <c r="A982" s="49"/>
    </row>
    <row r="983">
      <c r="A983" s="49"/>
    </row>
    <row r="984">
      <c r="A984" s="49"/>
    </row>
    <row r="985">
      <c r="A985" s="49"/>
    </row>
    <row r="986">
      <c r="A986" s="49"/>
    </row>
    <row r="987">
      <c r="A987" s="49"/>
    </row>
    <row r="988">
      <c r="A988" s="49"/>
    </row>
    <row r="989">
      <c r="A989" s="49"/>
    </row>
    <row r="990">
      <c r="A990" s="49"/>
    </row>
    <row r="991">
      <c r="A991" s="49"/>
    </row>
    <row r="992">
      <c r="A992" s="49"/>
    </row>
    <row r="993">
      <c r="A993" s="49"/>
    </row>
    <row r="994">
      <c r="A994" s="49"/>
    </row>
    <row r="995">
      <c r="A995" s="49"/>
    </row>
    <row r="996">
      <c r="A996" s="49"/>
    </row>
    <row r="997">
      <c r="A997" s="49"/>
    </row>
    <row r="998">
      <c r="A998" s="49"/>
    </row>
  </sheetData>
  <mergeCells count="12">
    <mergeCell ref="C16:C17"/>
    <mergeCell ref="D16:D17"/>
    <mergeCell ref="B18:B22"/>
    <mergeCell ref="C18:C22"/>
    <mergeCell ref="D18:D22"/>
    <mergeCell ref="B2:B10"/>
    <mergeCell ref="C2:C10"/>
    <mergeCell ref="D2:D10"/>
    <mergeCell ref="B13:B14"/>
    <mergeCell ref="C13:C14"/>
    <mergeCell ref="D13:D14"/>
    <mergeCell ref="B16:B17"/>
  </mergeCells>
  <hyperlinks>
    <hyperlink r:id="rId1" ref="D2"/>
    <hyperlink r:id="rId2" ref="D13"/>
    <hyperlink r:id="rId3" ref="D16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7.75"/>
    <col customWidth="1" min="3" max="3" width="18.0"/>
    <col customWidth="1" min="4" max="4" width="45.0"/>
  </cols>
  <sheetData>
    <row r="1">
      <c r="B1" s="50" t="s">
        <v>38</v>
      </c>
      <c r="C1" s="50" t="s">
        <v>19</v>
      </c>
      <c r="D1" s="50" t="s">
        <v>39</v>
      </c>
    </row>
    <row r="2">
      <c r="A2" s="51" t="s">
        <v>40</v>
      </c>
      <c r="B2" s="52" t="s">
        <v>41</v>
      </c>
      <c r="C2" s="52" t="s">
        <v>42</v>
      </c>
      <c r="D2" s="52" t="s">
        <v>43</v>
      </c>
    </row>
    <row r="3">
      <c r="A3" s="51" t="s">
        <v>44</v>
      </c>
      <c r="B3" s="52" t="s">
        <v>45</v>
      </c>
      <c r="C3" s="52" t="s">
        <v>46</v>
      </c>
      <c r="D3" s="52" t="s">
        <v>47</v>
      </c>
    </row>
    <row r="4">
      <c r="A4" s="51" t="s">
        <v>48</v>
      </c>
      <c r="B4" s="52" t="s">
        <v>41</v>
      </c>
      <c r="C4" s="52" t="s">
        <v>46</v>
      </c>
      <c r="D4" s="52" t="s">
        <v>49</v>
      </c>
    </row>
    <row r="5">
      <c r="A5" s="51" t="s">
        <v>50</v>
      </c>
      <c r="B5" s="52" t="s">
        <v>45</v>
      </c>
      <c r="C5" s="52" t="s">
        <v>42</v>
      </c>
      <c r="D5" s="52" t="s">
        <v>51</v>
      </c>
    </row>
    <row r="6">
      <c r="A6" s="51" t="s">
        <v>52</v>
      </c>
      <c r="B6" s="52" t="s">
        <v>41</v>
      </c>
      <c r="C6" s="52" t="s">
        <v>53</v>
      </c>
      <c r="D6" s="52" t="s">
        <v>54</v>
      </c>
    </row>
    <row r="7">
      <c r="A7" s="51" t="s">
        <v>55</v>
      </c>
      <c r="B7" s="52" t="s">
        <v>45</v>
      </c>
      <c r="C7" s="52" t="s">
        <v>53</v>
      </c>
      <c r="D7" s="52" t="s">
        <v>54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44.0"/>
    <col customWidth="1" min="3" max="3" width="16.5"/>
    <col customWidth="1" min="4" max="4" width="15.75"/>
    <col customWidth="1" min="5" max="5" width="22.25"/>
    <col customWidth="1" min="6" max="6" width="42.25"/>
    <col customWidth="1" min="8" max="8" width="12.0"/>
  </cols>
  <sheetData>
    <row r="1">
      <c r="A1" s="53" t="s">
        <v>19</v>
      </c>
      <c r="B1" s="54" t="s">
        <v>56</v>
      </c>
      <c r="C1" s="53" t="s">
        <v>57</v>
      </c>
      <c r="D1" s="53" t="s">
        <v>58</v>
      </c>
      <c r="E1" s="54" t="s">
        <v>59</v>
      </c>
      <c r="F1" s="54" t="s">
        <v>60</v>
      </c>
      <c r="G1" s="53" t="s">
        <v>61</v>
      </c>
      <c r="H1" s="53" t="s">
        <v>21</v>
      </c>
    </row>
    <row r="2">
      <c r="A2" s="55" t="s">
        <v>62</v>
      </c>
      <c r="B2" s="56"/>
      <c r="C2" s="55" t="s">
        <v>63</v>
      </c>
      <c r="D2" s="55" t="s">
        <v>64</v>
      </c>
      <c r="E2" s="57" t="s">
        <v>65</v>
      </c>
      <c r="F2" s="58" t="s">
        <v>66</v>
      </c>
      <c r="G2" s="55">
        <v>0.0</v>
      </c>
      <c r="H2" s="59"/>
      <c r="I2" s="60" t="s">
        <v>67</v>
      </c>
    </row>
    <row r="3">
      <c r="A3" s="55" t="s">
        <v>68</v>
      </c>
      <c r="B3" s="61" t="s">
        <v>69</v>
      </c>
      <c r="C3" s="55" t="s">
        <v>63</v>
      </c>
      <c r="D3" s="55" t="s">
        <v>63</v>
      </c>
      <c r="E3" s="57" t="s">
        <v>65</v>
      </c>
      <c r="F3" s="57" t="s">
        <v>70</v>
      </c>
      <c r="G3" s="55">
        <v>1.0</v>
      </c>
      <c r="H3" s="62"/>
      <c r="I3" s="60" t="s">
        <v>67</v>
      </c>
    </row>
    <row r="4">
      <c r="A4" s="55" t="s">
        <v>71</v>
      </c>
      <c r="B4" s="61" t="s">
        <v>72</v>
      </c>
      <c r="C4" s="55" t="s">
        <v>73</v>
      </c>
      <c r="D4" s="55" t="s">
        <v>74</v>
      </c>
      <c r="E4" s="63" t="s">
        <v>75</v>
      </c>
      <c r="F4" s="57" t="s">
        <v>76</v>
      </c>
      <c r="G4" s="55">
        <v>5.0</v>
      </c>
      <c r="H4" s="64" t="s">
        <v>77</v>
      </c>
      <c r="I4" s="65" t="s">
        <v>78</v>
      </c>
    </row>
    <row r="5" ht="53.25" customHeight="1">
      <c r="A5" s="55" t="s">
        <v>46</v>
      </c>
      <c r="B5" s="66" t="s">
        <v>79</v>
      </c>
      <c r="C5" s="67" t="s">
        <v>80</v>
      </c>
      <c r="D5" s="68" t="s">
        <v>74</v>
      </c>
      <c r="E5" s="69" t="s">
        <v>81</v>
      </c>
      <c r="F5" s="70" t="s">
        <v>82</v>
      </c>
      <c r="G5" s="55">
        <v>3.0</v>
      </c>
      <c r="H5" s="71" t="s">
        <v>83</v>
      </c>
      <c r="I5" s="72" t="s">
        <v>84</v>
      </c>
    </row>
    <row r="6">
      <c r="A6" s="55" t="s">
        <v>85</v>
      </c>
      <c r="B6" s="66" t="s">
        <v>86</v>
      </c>
      <c r="C6" s="67" t="s">
        <v>87</v>
      </c>
      <c r="D6" s="68" t="s">
        <v>74</v>
      </c>
      <c r="E6" s="69" t="s">
        <v>88</v>
      </c>
      <c r="F6" s="70" t="s">
        <v>89</v>
      </c>
      <c r="G6" s="55">
        <v>1.0</v>
      </c>
      <c r="H6" s="64" t="s">
        <v>83</v>
      </c>
      <c r="I6" s="73" t="s">
        <v>90</v>
      </c>
    </row>
    <row r="7" ht="45.0" customHeight="1">
      <c r="A7" s="74" t="s">
        <v>53</v>
      </c>
      <c r="B7" s="75" t="s">
        <v>91</v>
      </c>
      <c r="C7" s="76" t="s">
        <v>92</v>
      </c>
      <c r="D7" s="55" t="s">
        <v>74</v>
      </c>
      <c r="E7" s="77" t="s">
        <v>93</v>
      </c>
      <c r="F7" s="77" t="s">
        <v>94</v>
      </c>
      <c r="G7" s="55">
        <v>3.0</v>
      </c>
      <c r="H7" s="78" t="s">
        <v>95</v>
      </c>
      <c r="I7" s="72" t="s">
        <v>84</v>
      </c>
    </row>
  </sheetData>
  <autoFilter ref="$A$1:$G$1000"/>
  <dataValidations>
    <dataValidation type="list" allowBlank="1" showErrorMessage="1" sqref="G2:G7">
      <formula1>"0,1,2,3,4,5"</formula1>
    </dataValidation>
  </dataValidations>
  <hyperlinks>
    <hyperlink r:id="rId1" ref="B3"/>
    <hyperlink r:id="rId2" ref="B4"/>
    <hyperlink r:id="rId3" ref="B5"/>
    <hyperlink r:id="rId4" ref="B6"/>
    <hyperlink r:id="rId5" ref="B7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45.5"/>
    <col customWidth="1" min="3" max="3" width="40.88"/>
    <col customWidth="1" min="4" max="4" width="36.25"/>
    <col customWidth="1" min="5" max="5" width="23.63"/>
    <col customWidth="1" min="6" max="6" width="12.5"/>
    <col customWidth="1" min="7" max="7" width="12.25"/>
    <col customWidth="1" min="8" max="8" width="14.5"/>
    <col customWidth="1" min="9" max="9" width="12.88"/>
    <col customWidth="1" min="11" max="11" width="14.88"/>
  </cols>
  <sheetData>
    <row r="1">
      <c r="A1" s="53" t="s">
        <v>38</v>
      </c>
      <c r="B1" s="54" t="s">
        <v>56</v>
      </c>
      <c r="C1" s="53" t="s">
        <v>96</v>
      </c>
      <c r="D1" s="54" t="s">
        <v>59</v>
      </c>
      <c r="E1" s="54" t="s">
        <v>60</v>
      </c>
      <c r="F1" s="53" t="s">
        <v>97</v>
      </c>
      <c r="G1" s="53" t="s">
        <v>98</v>
      </c>
      <c r="H1" s="79" t="s">
        <v>99</v>
      </c>
      <c r="I1" s="79" t="s">
        <v>61</v>
      </c>
    </row>
    <row r="2">
      <c r="A2" s="80" t="s">
        <v>100</v>
      </c>
      <c r="B2" s="81" t="s">
        <v>101</v>
      </c>
      <c r="C2" s="82" t="s">
        <v>102</v>
      </c>
      <c r="D2" s="83" t="s">
        <v>103</v>
      </c>
      <c r="E2" s="84" t="s">
        <v>104</v>
      </c>
      <c r="F2" s="85" t="s">
        <v>105</v>
      </c>
      <c r="G2" s="85" t="s">
        <v>105</v>
      </c>
      <c r="H2" s="82" t="s">
        <v>106</v>
      </c>
      <c r="I2" s="82">
        <v>5.0</v>
      </c>
    </row>
    <row r="3">
      <c r="A3" s="86" t="s">
        <v>107</v>
      </c>
      <c r="B3" s="87" t="s">
        <v>108</v>
      </c>
      <c r="C3" s="88" t="s">
        <v>109</v>
      </c>
      <c r="D3" s="89" t="s">
        <v>0</v>
      </c>
      <c r="E3" s="90" t="s">
        <v>104</v>
      </c>
      <c r="F3" s="91" t="s">
        <v>105</v>
      </c>
      <c r="G3" s="91" t="s">
        <v>105</v>
      </c>
      <c r="H3" s="88" t="s">
        <v>110</v>
      </c>
      <c r="I3" s="88">
        <v>5.0</v>
      </c>
    </row>
    <row r="4">
      <c r="A4" s="92" t="s">
        <v>111</v>
      </c>
      <c r="B4" s="93" t="s">
        <v>112</v>
      </c>
      <c r="C4" s="94" t="s">
        <v>113</v>
      </c>
      <c r="D4" s="95" t="s">
        <v>114</v>
      </c>
      <c r="E4" s="96" t="s">
        <v>115</v>
      </c>
      <c r="F4" s="97" t="s">
        <v>105</v>
      </c>
      <c r="G4" s="97" t="s">
        <v>105</v>
      </c>
      <c r="H4" s="94" t="s">
        <v>116</v>
      </c>
      <c r="I4" s="94">
        <v>3.0</v>
      </c>
    </row>
    <row r="5">
      <c r="A5" s="98" t="s">
        <v>117</v>
      </c>
      <c r="B5" s="99" t="s">
        <v>118</v>
      </c>
      <c r="C5" s="60" t="s">
        <v>113</v>
      </c>
      <c r="D5" s="100" t="s">
        <v>119</v>
      </c>
      <c r="E5" s="101" t="s">
        <v>115</v>
      </c>
      <c r="F5" s="102" t="s">
        <v>105</v>
      </c>
      <c r="G5" s="102" t="s">
        <v>105</v>
      </c>
      <c r="H5" s="60" t="s">
        <v>120</v>
      </c>
      <c r="I5" s="60">
        <v>2.0</v>
      </c>
    </row>
    <row r="6">
      <c r="A6" s="92" t="s">
        <v>121</v>
      </c>
      <c r="B6" s="93" t="s">
        <v>122</v>
      </c>
      <c r="C6" s="94" t="s">
        <v>123</v>
      </c>
      <c r="D6" s="95" t="s">
        <v>124</v>
      </c>
      <c r="E6" s="96" t="s">
        <v>125</v>
      </c>
      <c r="F6" s="97" t="s">
        <v>105</v>
      </c>
      <c r="G6" s="97" t="s">
        <v>105</v>
      </c>
      <c r="H6" s="94" t="s">
        <v>116</v>
      </c>
      <c r="I6" s="94">
        <v>2.0</v>
      </c>
    </row>
    <row r="7">
      <c r="A7" s="103" t="s">
        <v>126</v>
      </c>
      <c r="B7" s="104" t="s">
        <v>127</v>
      </c>
      <c r="C7" s="105" t="s">
        <v>128</v>
      </c>
      <c r="D7" s="106" t="s">
        <v>114</v>
      </c>
      <c r="E7" s="107" t="s">
        <v>115</v>
      </c>
      <c r="F7" s="108" t="s">
        <v>105</v>
      </c>
      <c r="G7" s="108" t="s">
        <v>105</v>
      </c>
      <c r="H7" s="105" t="s">
        <v>129</v>
      </c>
      <c r="I7" s="105">
        <v>2.0</v>
      </c>
    </row>
    <row r="8">
      <c r="A8" s="80" t="s">
        <v>130</v>
      </c>
      <c r="B8" s="81" t="s">
        <v>131</v>
      </c>
      <c r="C8" s="82" t="s">
        <v>132</v>
      </c>
      <c r="D8" s="83" t="s">
        <v>133</v>
      </c>
      <c r="E8" s="84" t="s">
        <v>104</v>
      </c>
      <c r="F8" s="85" t="s">
        <v>105</v>
      </c>
      <c r="G8" s="85" t="s">
        <v>134</v>
      </c>
      <c r="H8" s="82" t="s">
        <v>106</v>
      </c>
      <c r="I8" s="82">
        <v>2.0</v>
      </c>
    </row>
    <row r="9">
      <c r="A9" s="109" t="s">
        <v>135</v>
      </c>
      <c r="B9" s="110" t="s">
        <v>136</v>
      </c>
      <c r="C9" s="111" t="s">
        <v>113</v>
      </c>
      <c r="D9" s="112" t="s">
        <v>137</v>
      </c>
      <c r="E9" s="113" t="s">
        <v>138</v>
      </c>
      <c r="F9" s="114" t="s">
        <v>105</v>
      </c>
      <c r="G9" s="114" t="s">
        <v>105</v>
      </c>
      <c r="H9" s="111" t="s">
        <v>139</v>
      </c>
      <c r="I9" s="111">
        <v>2.0</v>
      </c>
    </row>
    <row r="10">
      <c r="A10" s="115" t="s">
        <v>140</v>
      </c>
      <c r="B10" s="116" t="s">
        <v>141</v>
      </c>
      <c r="C10" s="117" t="s">
        <v>142</v>
      </c>
      <c r="D10" s="118" t="s">
        <v>143</v>
      </c>
      <c r="E10" s="119"/>
      <c r="F10" s="120" t="s">
        <v>105</v>
      </c>
      <c r="G10" s="120" t="s">
        <v>105</v>
      </c>
      <c r="H10" s="117" t="s">
        <v>144</v>
      </c>
      <c r="I10" s="117">
        <v>2.0</v>
      </c>
    </row>
    <row r="11">
      <c r="A11" s="80" t="s">
        <v>145</v>
      </c>
      <c r="B11" s="81" t="s">
        <v>146</v>
      </c>
      <c r="C11" s="82" t="s">
        <v>102</v>
      </c>
      <c r="D11" s="83" t="s">
        <v>147</v>
      </c>
      <c r="E11" s="84" t="s">
        <v>148</v>
      </c>
      <c r="F11" s="85" t="s">
        <v>105</v>
      </c>
      <c r="G11" s="85" t="s">
        <v>105</v>
      </c>
      <c r="H11" s="82" t="s">
        <v>106</v>
      </c>
      <c r="I11" s="82">
        <v>2.0</v>
      </c>
    </row>
    <row r="12">
      <c r="A12" s="80" t="s">
        <v>149</v>
      </c>
      <c r="B12" s="81" t="s">
        <v>150</v>
      </c>
      <c r="C12" s="82" t="s">
        <v>151</v>
      </c>
      <c r="D12" s="83" t="s">
        <v>152</v>
      </c>
      <c r="E12" s="84" t="s">
        <v>148</v>
      </c>
      <c r="F12" s="85" t="s">
        <v>134</v>
      </c>
      <c r="G12" s="85" t="s">
        <v>105</v>
      </c>
      <c r="H12" s="82" t="s">
        <v>106</v>
      </c>
      <c r="I12" s="82">
        <v>2.0</v>
      </c>
    </row>
    <row r="13">
      <c r="A13" s="109" t="s">
        <v>153</v>
      </c>
      <c r="B13" s="121" t="s">
        <v>154</v>
      </c>
      <c r="C13" s="111" t="s">
        <v>113</v>
      </c>
      <c r="D13" s="112" t="s">
        <v>155</v>
      </c>
      <c r="E13" s="113"/>
      <c r="F13" s="114" t="s">
        <v>105</v>
      </c>
      <c r="G13" s="114" t="s">
        <v>105</v>
      </c>
      <c r="H13" s="111" t="s">
        <v>139</v>
      </c>
      <c r="I13" s="111">
        <v>1.0</v>
      </c>
    </row>
    <row r="14">
      <c r="A14" s="109" t="s">
        <v>156</v>
      </c>
      <c r="B14" s="110" t="s">
        <v>157</v>
      </c>
      <c r="C14" s="111" t="s">
        <v>109</v>
      </c>
      <c r="D14" s="112" t="s">
        <v>155</v>
      </c>
      <c r="E14" s="113"/>
      <c r="F14" s="114" t="s">
        <v>105</v>
      </c>
      <c r="G14" s="114" t="s">
        <v>105</v>
      </c>
      <c r="H14" s="111" t="s">
        <v>139</v>
      </c>
      <c r="I14" s="111">
        <v>1.0</v>
      </c>
    </row>
    <row r="15">
      <c r="A15" s="109" t="s">
        <v>158</v>
      </c>
      <c r="B15" s="110" t="s">
        <v>159</v>
      </c>
      <c r="C15" s="111" t="s">
        <v>109</v>
      </c>
      <c r="D15" s="112" t="s">
        <v>155</v>
      </c>
      <c r="E15" s="113"/>
      <c r="F15" s="114" t="s">
        <v>105</v>
      </c>
      <c r="G15" s="114" t="s">
        <v>105</v>
      </c>
      <c r="H15" s="111" t="s">
        <v>139</v>
      </c>
      <c r="I15" s="111">
        <v>1.0</v>
      </c>
    </row>
  </sheetData>
  <autoFilter ref="$A$1:$I$1000">
    <sortState ref="A1:I1000">
      <sortCondition descending="1" ref="I1:I1000"/>
      <sortCondition ref="C1:C1000"/>
      <sortCondition ref="H1:H1000"/>
      <sortCondition ref="A1:A1000"/>
      <sortCondition ref="D1:D1000"/>
    </sortState>
  </autoFilter>
  <dataValidations>
    <dataValidation type="list" allowBlank="1" showErrorMessage="1" sqref="F2:G15">
      <formula1>"Yes,No,Unknown"</formula1>
    </dataValidation>
    <dataValidation type="list" allowBlank="1" showErrorMessage="1" sqref="I2:I15">
      <formula1>"0,1,2,3,4,5"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4"/>
    <hyperlink r:id="rId13" ref="B15"/>
  </hyperlinks>
  <drawing r:id="rId1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5.25"/>
    <col customWidth="1" min="3" max="3" width="31.0"/>
    <col customWidth="1" min="4" max="4" width="31.38"/>
    <col customWidth="1" min="5" max="5" width="14.88"/>
    <col customWidth="1" min="6" max="6" width="14.75"/>
    <col customWidth="1" min="9" max="9" width="27.63"/>
    <col customWidth="1" min="10" max="10" width="46.25"/>
    <col customWidth="1" min="11" max="11" width="40.13"/>
    <col customWidth="1" min="15" max="15" width="16.5"/>
    <col customWidth="1" min="16" max="16" width="56.25"/>
    <col customWidth="1" min="17" max="17" width="42.13"/>
  </cols>
  <sheetData>
    <row r="1">
      <c r="C1" s="15" t="s">
        <v>160</v>
      </c>
      <c r="F1" s="52" t="s">
        <v>161</v>
      </c>
    </row>
    <row r="2" ht="22.5" customHeight="1">
      <c r="A2" s="122" t="s">
        <v>162</v>
      </c>
      <c r="B2" s="122" t="s">
        <v>163</v>
      </c>
      <c r="C2" s="122" t="s">
        <v>164</v>
      </c>
      <c r="D2" s="122" t="s">
        <v>165</v>
      </c>
      <c r="F2" s="123" t="s">
        <v>166</v>
      </c>
      <c r="H2" s="122" t="s">
        <v>167</v>
      </c>
      <c r="I2" s="122" t="s">
        <v>168</v>
      </c>
      <c r="J2" s="124" t="s">
        <v>169</v>
      </c>
    </row>
    <row r="3" ht="22.5" customHeight="1">
      <c r="A3" s="125" t="s">
        <v>170</v>
      </c>
      <c r="B3" s="126">
        <v>12.99</v>
      </c>
      <c r="C3" s="127">
        <f>SUM('Order List PivotTable'!C:C)</f>
        <v>0</v>
      </c>
      <c r="D3" s="128">
        <f t="shared" ref="D3:D29" si="1">1.13*(C3*B3)</f>
        <v>0</v>
      </c>
      <c r="F3" s="129" t="s">
        <v>171</v>
      </c>
      <c r="H3" s="130" t="str">
        <f>'Order List Table'!C2</f>
        <v>Alex</v>
      </c>
      <c r="I3" s="130" t="str">
        <f>'Order List Table'!E2</f>
        <v/>
      </c>
      <c r="J3" s="131" t="str">
        <f>'Order List Table'!AG2</f>
        <v/>
      </c>
    </row>
    <row r="4" ht="22.5" customHeight="1">
      <c r="A4" s="125" t="s">
        <v>172</v>
      </c>
      <c r="B4" s="126">
        <v>7.99</v>
      </c>
      <c r="C4" s="127">
        <f>SUM('Order List PivotTable'!D:D)</f>
        <v>1</v>
      </c>
      <c r="D4" s="128">
        <f t="shared" si="1"/>
        <v>9.0287</v>
      </c>
      <c r="F4" s="132" t="s">
        <v>173</v>
      </c>
      <c r="H4" s="130" t="str">
        <f>'Order List Table'!C3</f>
        <v>Denis</v>
      </c>
      <c r="I4" s="130" t="str">
        <f>'Order List Table'!E3</f>
        <v>NO I EAT EVERYTHING!!!</v>
      </c>
      <c r="J4" s="131" t="str">
        <f>'Order List Table'!AG3</f>
        <v>This is just test submission for the sheets!!!</v>
      </c>
    </row>
    <row r="5" ht="22.5" customHeight="1">
      <c r="A5" s="125" t="s">
        <v>174</v>
      </c>
      <c r="B5" s="126">
        <v>7.99</v>
      </c>
      <c r="C5" s="127">
        <f>SUM('Order List PivotTable'!E:E)</f>
        <v>0</v>
      </c>
      <c r="D5" s="128">
        <f t="shared" si="1"/>
        <v>0</v>
      </c>
      <c r="F5" s="133" t="s">
        <v>175</v>
      </c>
      <c r="H5" s="130" t="str">
        <f>'Order List Table'!C4</f>
        <v>Trang</v>
      </c>
      <c r="I5" s="130" t="str">
        <f>'Order List Table'!E4</f>
        <v>nuts allergies</v>
      </c>
      <c r="J5" s="131" t="str">
        <f>'Order List Table'!AG4</f>
        <v>draft but also my real response 😊 love u guys</v>
      </c>
    </row>
    <row r="6" ht="22.5" customHeight="1">
      <c r="A6" s="134" t="s">
        <v>176</v>
      </c>
      <c r="B6" s="126">
        <v>23.99</v>
      </c>
      <c r="C6" s="127">
        <f>SUM('Order List PivotTable'!F:F)</f>
        <v>0</v>
      </c>
      <c r="D6" s="128">
        <f t="shared" si="1"/>
        <v>0</v>
      </c>
      <c r="F6" s="135" t="s">
        <v>177</v>
      </c>
      <c r="H6" s="130" t="str">
        <f>'Order List Table'!C5</f>
        <v>Khanh</v>
      </c>
      <c r="I6" s="130" t="str">
        <f>'Order List Table'!E5</f>
        <v/>
      </c>
      <c r="J6" s="131" t="str">
        <f>'Order List Table'!AG5</f>
        <v/>
      </c>
      <c r="Q6" s="136"/>
    </row>
    <row r="7" ht="22.5" customHeight="1">
      <c r="A7" s="134" t="s">
        <v>178</v>
      </c>
      <c r="B7" s="126">
        <v>20.99</v>
      </c>
      <c r="C7" s="127">
        <f>SUM('Order List PivotTable'!G:G)</f>
        <v>0</v>
      </c>
      <c r="D7" s="128">
        <f t="shared" si="1"/>
        <v>0</v>
      </c>
      <c r="F7" s="137" t="s">
        <v>179</v>
      </c>
      <c r="H7" s="130" t="str">
        <f>'Order List Table'!C6</f>
        <v>Ivy</v>
      </c>
      <c r="I7" s="130" t="str">
        <f>'Order List Table'!E6</f>
        <v>Nope</v>
      </c>
      <c r="J7" s="131" t="str">
        <f>'Order List Table'!AG6</f>
        <v>yum yum yum yum yum yum💔</v>
      </c>
      <c r="Q7" s="136"/>
    </row>
    <row r="8" ht="22.5" customHeight="1">
      <c r="A8" s="134" t="s">
        <v>180</v>
      </c>
      <c r="B8" s="126">
        <v>20.99</v>
      </c>
      <c r="C8" s="127">
        <f>SUM('Order List PivotTable'!H:H)</f>
        <v>1</v>
      </c>
      <c r="D8" s="128">
        <f t="shared" si="1"/>
        <v>23.7187</v>
      </c>
      <c r="F8" s="138" t="s">
        <v>181</v>
      </c>
      <c r="H8" s="130" t="str">
        <f>'Order List Table'!C7</f>
        <v>Britney</v>
      </c>
      <c r="I8" s="130" t="str">
        <f>'Order List Table'!E7</f>
        <v>no</v>
      </c>
      <c r="J8" s="131" t="str">
        <f>'Order List Table'!AG7</f>
        <v>no</v>
      </c>
    </row>
    <row r="9" ht="22.5" customHeight="1">
      <c r="A9" s="134" t="s">
        <v>182</v>
      </c>
      <c r="B9" s="126">
        <v>20.99</v>
      </c>
      <c r="C9" s="127">
        <f>SUM('Order List PivotTable'!I:I)</f>
        <v>0</v>
      </c>
      <c r="D9" s="128">
        <f t="shared" si="1"/>
        <v>0</v>
      </c>
      <c r="F9" s="139" t="s">
        <v>183</v>
      </c>
      <c r="H9" s="130" t="str">
        <f>'Order List Table'!C8</f>
        <v>Teresa</v>
      </c>
      <c r="I9" s="130" t="str">
        <f>'Order List Table'!E8</f>
        <v>No</v>
      </c>
      <c r="J9" s="131" t="str">
        <f>'Order List Table'!AG8</f>
        <v/>
      </c>
    </row>
    <row r="10" ht="22.5" customHeight="1">
      <c r="A10" s="140" t="s">
        <v>184</v>
      </c>
      <c r="B10" s="126">
        <v>18.99</v>
      </c>
      <c r="C10" s="127">
        <f>SUM('Order List PivotTable'!J:J)</f>
        <v>2</v>
      </c>
      <c r="D10" s="128">
        <f t="shared" si="1"/>
        <v>42.9174</v>
      </c>
      <c r="H10" s="130" t="str">
        <f>'Order List Table'!C9</f>
        <v>Kathy</v>
      </c>
      <c r="I10" s="130" t="str">
        <f>'Order List Table'!E9</f>
        <v>No allergies!!</v>
      </c>
      <c r="J10" s="131" t="str">
        <f>'Order List Table'!AG9</f>
        <v>No</v>
      </c>
    </row>
    <row r="11" ht="22.5" customHeight="1">
      <c r="A11" s="140" t="s">
        <v>185</v>
      </c>
      <c r="B11" s="126">
        <v>21.99</v>
      </c>
      <c r="C11" s="127">
        <f>SUM('Order List PivotTable'!K:K)</f>
        <v>0</v>
      </c>
      <c r="D11" s="128">
        <f t="shared" si="1"/>
        <v>0</v>
      </c>
      <c r="H11" s="130" t="str">
        <f>'Order List Table'!C10</f>
        <v>Presly</v>
      </c>
      <c r="I11" s="130" t="str">
        <f>'Order List Table'!E10</f>
        <v>No</v>
      </c>
      <c r="J11" s="131" t="str">
        <f>'Order List Table'!AG10</f>
        <v>I’m not writing anything again</v>
      </c>
    </row>
    <row r="12" ht="22.5" customHeight="1">
      <c r="A12" s="140" t="s">
        <v>186</v>
      </c>
      <c r="B12" s="141">
        <v>22.99</v>
      </c>
      <c r="C12" s="127">
        <f>SUM('Order List PivotTable'!L:L)</f>
        <v>0</v>
      </c>
      <c r="D12" s="128">
        <f t="shared" si="1"/>
        <v>0</v>
      </c>
      <c r="H12" s="130" t="str">
        <f>'Order List Table'!C11</f>
        <v>Bao</v>
      </c>
      <c r="I12" s="130" t="str">
        <f>'Order List Table'!E11</f>
        <v>dị ứng với người không iu mình 🥰</v>
      </c>
      <c r="J12" s="131" t="str">
        <f>'Order List Table'!AG11</f>
        <v>dạ hôm đó mình nhậu nhẹt uống tí cồn được không ạ 🥰🤟🏻</v>
      </c>
    </row>
    <row r="13" ht="22.5" customHeight="1">
      <c r="A13" s="140" t="s">
        <v>187</v>
      </c>
      <c r="B13" s="141">
        <v>22.99</v>
      </c>
      <c r="C13" s="127">
        <f>SUM('Order List PivotTable'!M:M)</f>
        <v>0</v>
      </c>
      <c r="D13" s="128">
        <f t="shared" si="1"/>
        <v>0</v>
      </c>
      <c r="H13" s="130" t="str">
        <f>'Order List Table'!C12</f>
        <v>Khuong Hoang</v>
      </c>
      <c r="I13" s="130" t="str">
        <f>'Order List Table'!E12</f>
        <v>ko</v>
      </c>
      <c r="J13" s="131" t="str">
        <f>'Order List Table'!AG12</f>
        <v>quynh lon</v>
      </c>
    </row>
    <row r="14" ht="22.5" customHeight="1">
      <c r="A14" s="142" t="s">
        <v>188</v>
      </c>
      <c r="B14" s="141">
        <v>21.99</v>
      </c>
      <c r="C14" s="127">
        <f>SUM('Order List PivotTable'!N:N)</f>
        <v>1</v>
      </c>
      <c r="D14" s="128">
        <f t="shared" si="1"/>
        <v>24.8487</v>
      </c>
      <c r="H14" s="130" t="str">
        <f>'Order List Table'!C14</f>
        <v/>
      </c>
      <c r="I14" s="130" t="str">
        <f>'Order List Table'!E14</f>
        <v/>
      </c>
      <c r="J14" s="131" t="str">
        <f>'Order List Table'!J13</f>
        <v/>
      </c>
    </row>
    <row r="15" ht="22.5" customHeight="1">
      <c r="A15" s="142" t="s">
        <v>189</v>
      </c>
      <c r="B15" s="141">
        <v>21.99</v>
      </c>
      <c r="C15" s="127">
        <f>SUM('Order List PivotTable'!O:O)</f>
        <v>0</v>
      </c>
      <c r="D15" s="128">
        <f t="shared" si="1"/>
        <v>0</v>
      </c>
      <c r="H15" s="130" t="str">
        <f>'Order List Table'!C15</f>
        <v/>
      </c>
      <c r="I15" s="130" t="str">
        <f>'Order List Table'!E15</f>
        <v/>
      </c>
      <c r="J15" s="131" t="str">
        <f>'Order List Table'!AG15</f>
        <v/>
      </c>
    </row>
    <row r="16" ht="22.5" customHeight="1">
      <c r="A16" s="142" t="s">
        <v>190</v>
      </c>
      <c r="B16" s="141">
        <v>24.99</v>
      </c>
      <c r="C16" s="127">
        <f>SUM('Order List PivotTable'!P:P)</f>
        <v>0</v>
      </c>
      <c r="D16" s="128">
        <f t="shared" si="1"/>
        <v>0</v>
      </c>
      <c r="H16" s="130" t="str">
        <f>'Order List Table'!C17</f>
        <v/>
      </c>
      <c r="I16" s="130" t="str">
        <f>'Order List Table'!E17</f>
        <v/>
      </c>
      <c r="J16" s="131" t="str">
        <f>'Order List Table'!AG17</f>
        <v/>
      </c>
    </row>
    <row r="17" ht="22.5" customHeight="1">
      <c r="A17" s="143" t="s">
        <v>191</v>
      </c>
      <c r="B17" s="141">
        <v>19.99</v>
      </c>
      <c r="C17" s="127">
        <f>SUM('Order List PivotTable'!Q:Q)</f>
        <v>0</v>
      </c>
      <c r="D17" s="128">
        <f t="shared" si="1"/>
        <v>0</v>
      </c>
      <c r="H17" s="130" t="str">
        <f>'Order List Table'!C18</f>
        <v/>
      </c>
      <c r="I17" s="130" t="str">
        <f>'Order List Table'!E18</f>
        <v/>
      </c>
      <c r="J17" s="131" t="str">
        <f>'Order List Table'!AG18</f>
        <v/>
      </c>
    </row>
    <row r="18" ht="22.5" customHeight="1">
      <c r="A18" s="143" t="s">
        <v>192</v>
      </c>
      <c r="B18" s="141">
        <v>19.99</v>
      </c>
      <c r="C18" s="127">
        <f>SUM('Order List PivotTable'!R:R)</f>
        <v>0</v>
      </c>
      <c r="D18" s="128">
        <f t="shared" si="1"/>
        <v>0</v>
      </c>
      <c r="H18" s="130" t="str">
        <f>'Order List Table'!C19</f>
        <v/>
      </c>
      <c r="I18" s="130" t="str">
        <f>'Order List Table'!E19</f>
        <v/>
      </c>
      <c r="J18" s="131" t="str">
        <f>'Order List Table'!AG19</f>
        <v/>
      </c>
    </row>
    <row r="19" ht="22.5" customHeight="1">
      <c r="A19" s="143" t="s">
        <v>193</v>
      </c>
      <c r="B19" s="141">
        <v>19.99</v>
      </c>
      <c r="C19" s="127">
        <f>SUM('Order List PivotTable'!S:S)</f>
        <v>1</v>
      </c>
      <c r="D19" s="128">
        <f t="shared" si="1"/>
        <v>22.5887</v>
      </c>
      <c r="H19" s="130" t="str">
        <f>'Order List Table'!C20</f>
        <v/>
      </c>
      <c r="I19" s="130" t="str">
        <f>'Order List Table'!E20</f>
        <v/>
      </c>
      <c r="J19" s="131" t="str">
        <f>'Order List Table'!AG20</f>
        <v/>
      </c>
    </row>
    <row r="20" ht="22.5" customHeight="1">
      <c r="A20" s="144" t="s">
        <v>194</v>
      </c>
      <c r="B20" s="141">
        <v>17.99</v>
      </c>
      <c r="C20" s="127">
        <f>SUM('Order List PivotTable'!T:T)</f>
        <v>0</v>
      </c>
      <c r="D20" s="128">
        <f t="shared" si="1"/>
        <v>0</v>
      </c>
      <c r="H20" s="130" t="str">
        <f>'Order List Table'!C21</f>
        <v/>
      </c>
      <c r="I20" s="130" t="str">
        <f>'Order List Table'!E21</f>
        <v/>
      </c>
      <c r="J20" s="131" t="str">
        <f>'Order List Table'!AG21</f>
        <v/>
      </c>
    </row>
    <row r="21" ht="22.5" customHeight="1">
      <c r="A21" s="144" t="s">
        <v>195</v>
      </c>
      <c r="B21" s="141">
        <v>22.99</v>
      </c>
      <c r="C21" s="127">
        <f>SUM('Order List PivotTable'!U:U)</f>
        <v>1</v>
      </c>
      <c r="D21" s="128">
        <f t="shared" si="1"/>
        <v>25.9787</v>
      </c>
      <c r="H21" s="130" t="str">
        <f>'Order List Table'!C22</f>
        <v/>
      </c>
      <c r="I21" s="130" t="str">
        <f>'Order List Table'!E22</f>
        <v/>
      </c>
      <c r="J21" s="131" t="str">
        <f>'Order List Table'!AG22</f>
        <v/>
      </c>
    </row>
    <row r="22" ht="22.5" customHeight="1">
      <c r="A22" s="144" t="s">
        <v>196</v>
      </c>
      <c r="B22" s="141">
        <v>20.99</v>
      </c>
      <c r="C22" s="127">
        <f>SUM('Order List PivotTable'!V:V)</f>
        <v>1</v>
      </c>
      <c r="D22" s="128">
        <f t="shared" si="1"/>
        <v>23.7187</v>
      </c>
      <c r="H22" s="130" t="str">
        <f>'Order List Table'!C23</f>
        <v/>
      </c>
      <c r="I22" s="130" t="str">
        <f>'Order List Table'!E23</f>
        <v/>
      </c>
      <c r="J22" s="131" t="str">
        <f>'Order List Table'!AG23</f>
        <v/>
      </c>
    </row>
    <row r="23" ht="22.5" customHeight="1">
      <c r="A23" s="144" t="s">
        <v>197</v>
      </c>
      <c r="B23" s="141">
        <v>19.99</v>
      </c>
      <c r="C23" s="127">
        <f>SUM('Order List PivotTable'!W:W)</f>
        <v>1</v>
      </c>
      <c r="D23" s="128">
        <f t="shared" si="1"/>
        <v>22.5887</v>
      </c>
      <c r="H23" s="130" t="str">
        <f>'Order List Table'!C24</f>
        <v/>
      </c>
      <c r="I23" s="130" t="str">
        <f>'Order List Table'!E24</f>
        <v/>
      </c>
      <c r="J23" s="131" t="str">
        <f>'Order List Table'!AG24</f>
        <v/>
      </c>
    </row>
    <row r="24" ht="22.5" customHeight="1">
      <c r="A24" s="145" t="s">
        <v>198</v>
      </c>
      <c r="B24" s="141">
        <v>19.99</v>
      </c>
      <c r="C24" s="127">
        <f>SUM('Order List PivotTable'!X:X)</f>
        <v>2</v>
      </c>
      <c r="D24" s="128">
        <f t="shared" si="1"/>
        <v>45.1774</v>
      </c>
      <c r="H24" s="130" t="str">
        <f>'Order List Table'!C25</f>
        <v/>
      </c>
      <c r="I24" s="130" t="str">
        <f>'Order List Table'!E25</f>
        <v/>
      </c>
      <c r="J24" s="131" t="str">
        <f>'Order List Table'!AG25</f>
        <v/>
      </c>
    </row>
    <row r="25" ht="22.5" customHeight="1">
      <c r="A25" s="145" t="s">
        <v>199</v>
      </c>
      <c r="B25" s="141">
        <v>19.99</v>
      </c>
      <c r="C25" s="127">
        <f>SUM('Order List PivotTable'!Y:Y)</f>
        <v>0</v>
      </c>
      <c r="D25" s="128">
        <f t="shared" si="1"/>
        <v>0</v>
      </c>
      <c r="H25" s="130" t="str">
        <f>'Order List Table'!C26</f>
        <v/>
      </c>
      <c r="I25" s="130" t="str">
        <f>'Order List Table'!E26</f>
        <v/>
      </c>
      <c r="J25" s="131" t="str">
        <f>'Order List Table'!AG26</f>
        <v/>
      </c>
    </row>
    <row r="26" ht="22.5" customHeight="1">
      <c r="A26" s="145" t="s">
        <v>200</v>
      </c>
      <c r="B26" s="141">
        <v>23.99</v>
      </c>
      <c r="C26" s="127">
        <f>SUM('Order List PivotTable'!Z:Z)</f>
        <v>0</v>
      </c>
      <c r="D26" s="128">
        <f t="shared" si="1"/>
        <v>0</v>
      </c>
      <c r="H26" s="130" t="str">
        <f>'Order List Table'!C27</f>
        <v/>
      </c>
      <c r="I26" s="130" t="str">
        <f>'Order List Table'!E27</f>
        <v/>
      </c>
      <c r="J26" s="131" t="str">
        <f>'Order List Table'!AG27</f>
        <v/>
      </c>
    </row>
    <row r="27" ht="22.5" customHeight="1">
      <c r="A27" s="145" t="s">
        <v>201</v>
      </c>
      <c r="B27" s="141">
        <v>18.99</v>
      </c>
      <c r="C27" s="127">
        <f>SUM('Order List PivotTable'!AA:AA)</f>
        <v>3</v>
      </c>
      <c r="D27" s="128">
        <f t="shared" si="1"/>
        <v>64.3761</v>
      </c>
      <c r="H27" s="130" t="str">
        <f>'Order List Table'!C28</f>
        <v/>
      </c>
      <c r="I27" s="130" t="str">
        <f>'Order List Table'!E28</f>
        <v/>
      </c>
      <c r="J27" s="131" t="str">
        <f>'Order List Table'!AG28</f>
        <v/>
      </c>
    </row>
    <row r="28" ht="22.5" customHeight="1">
      <c r="A28" s="146" t="s">
        <v>202</v>
      </c>
      <c r="B28" s="141">
        <v>16.99</v>
      </c>
      <c r="C28" s="127">
        <f>SUM('Order List PivotTable'!AB:AB)</f>
        <v>0</v>
      </c>
      <c r="D28" s="128">
        <f t="shared" si="1"/>
        <v>0</v>
      </c>
      <c r="H28" s="130" t="str">
        <f>'Order List Table'!C29</f>
        <v/>
      </c>
      <c r="I28" s="130" t="str">
        <f>'Order List Table'!E29</f>
        <v/>
      </c>
      <c r="J28" s="131" t="str">
        <f>'Order List Table'!AG29</f>
        <v/>
      </c>
    </row>
    <row r="29" ht="22.5" customHeight="1">
      <c r="A29" s="147" t="s">
        <v>183</v>
      </c>
      <c r="B29" s="141">
        <v>19.99</v>
      </c>
      <c r="C29" s="127">
        <f>SUM('Order List PivotTable'!AC:AC)</f>
        <v>0</v>
      </c>
      <c r="D29" s="128">
        <f t="shared" si="1"/>
        <v>0</v>
      </c>
      <c r="H29" s="130" t="str">
        <f>'Order List Table'!C30</f>
        <v/>
      </c>
      <c r="I29" s="130" t="str">
        <f>'Order List Table'!E30</f>
        <v/>
      </c>
      <c r="J29" s="131" t="str">
        <f>'Order List Table'!AG30</f>
        <v/>
      </c>
    </row>
    <row r="30" ht="22.5" customHeight="1">
      <c r="A30" s="148" t="s">
        <v>203</v>
      </c>
      <c r="B30" s="149">
        <f t="shared" ref="B30:D30" si="2">SUM(B3:B29)</f>
        <v>533.73</v>
      </c>
      <c r="C30" s="150">
        <f t="shared" si="2"/>
        <v>14</v>
      </c>
      <c r="D30" s="149">
        <f t="shared" si="2"/>
        <v>304.9418</v>
      </c>
      <c r="H30" s="130" t="str">
        <f>'Order List Table'!C31</f>
        <v/>
      </c>
      <c r="I30" s="130" t="str">
        <f>'Order List Table'!E31</f>
        <v/>
      </c>
      <c r="J30" s="131" t="str">
        <f>'Order List Table'!AG31</f>
        <v/>
      </c>
    </row>
    <row r="31">
      <c r="H31" s="151" t="str">
        <f>'Order List Table'!C32</f>
        <v/>
      </c>
      <c r="I31" s="151" t="str">
        <f>'Order List Table'!E32</f>
        <v/>
      </c>
      <c r="J31" s="136" t="str">
        <f>'Order List Table'!AG32</f>
        <v/>
      </c>
    </row>
    <row r="32">
      <c r="H32" s="151" t="str">
        <f>'Order List Table'!C33</f>
        <v/>
      </c>
      <c r="I32" s="151" t="str">
        <f>'Order List Table'!E33</f>
        <v/>
      </c>
      <c r="J32" s="136" t="str">
        <f>'Order List Table'!AG33</f>
        <v/>
      </c>
    </row>
    <row r="33">
      <c r="H33" s="151" t="str">
        <f>'Order List Table'!C34</f>
        <v/>
      </c>
      <c r="I33" s="151" t="str">
        <f>'Order List Table'!E34</f>
        <v/>
      </c>
      <c r="J33" s="136" t="str">
        <f>'Order List Table'!AG34</f>
        <v/>
      </c>
    </row>
    <row r="34">
      <c r="H34" s="151" t="str">
        <f>'Order List Table'!C35</f>
        <v/>
      </c>
      <c r="I34" s="151" t="str">
        <f>'Order List Table'!E35</f>
        <v/>
      </c>
      <c r="J34" s="136" t="str">
        <f>'Order List Table'!AG35</f>
        <v/>
      </c>
    </row>
    <row r="35">
      <c r="H35" s="151" t="str">
        <f>'Order List Table'!C36</f>
        <v/>
      </c>
      <c r="I35" s="151" t="str">
        <f>'Order List Table'!E36</f>
        <v/>
      </c>
      <c r="J35" s="136" t="str">
        <f>'Order List Table'!AG36</f>
        <v/>
      </c>
    </row>
  </sheetData>
  <conditionalFormatting sqref="C3:C29">
    <cfRule type="cellIs" dxfId="7" priority="1" operator="greaterThanOrEqual">
      <formula>1</formula>
    </cfRule>
  </conditionalFormatting>
  <conditionalFormatting sqref="C3:C29">
    <cfRule type="cellIs" dxfId="8" priority="2" operator="lessThanOrEqual">
      <formula>0</formula>
    </cfRule>
  </conditionalFormatting>
  <dataValidations>
    <dataValidation type="custom" allowBlank="1" showDropDown="1" sqref="B3:B30 D3:D30">
      <formula1>AND(ISNUMBER(B3),(NOT(OR(NOT(ISERROR(DATEVALUE(B3))), AND(ISNUMBER(B3), LEFT(CELL("format", B3))="D")))))</formula1>
    </dataValidation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63"/>
    <col customWidth="1" min="2" max="2" width="28.13"/>
    <col customWidth="1" min="3" max="3" width="25.88"/>
    <col customWidth="1" min="4" max="4" width="21.63"/>
    <col customWidth="1" min="5" max="5" width="16.63"/>
    <col customWidth="1" min="6" max="6" width="19.5"/>
    <col customWidth="1" min="7" max="7" width="20.75"/>
    <col customWidth="1" min="8" max="8" width="29.25"/>
    <col customWidth="1" min="9" max="9" width="20.75"/>
    <col customWidth="1" min="10" max="10" width="18.75"/>
    <col customWidth="1" min="11" max="11" width="20.38"/>
    <col customWidth="1" min="12" max="12" width="24.13"/>
    <col customWidth="1" min="13" max="13" width="15.38"/>
    <col customWidth="1" min="14" max="14" width="23.63"/>
    <col customWidth="1" min="15" max="15" width="28.63"/>
    <col customWidth="1" min="16" max="16" width="19.5"/>
    <col customWidth="1" min="17" max="17" width="15.38"/>
    <col customWidth="1" min="18" max="18" width="15.0"/>
    <col customWidth="1" min="19" max="19" width="13.0"/>
    <col customWidth="1" min="20" max="20" width="13.25"/>
    <col customWidth="1" min="21" max="21" width="19.0"/>
    <col customWidth="1" min="22" max="22" width="14.13"/>
    <col customWidth="1" min="23" max="23" width="14.0"/>
    <col customWidth="1" min="24" max="24" width="15.75"/>
    <col customWidth="1" min="25" max="25" width="19.38"/>
    <col customWidth="1" min="26" max="26" width="24.5"/>
    <col customWidth="1" min="27" max="27" width="20.38"/>
    <col customWidth="1" min="28" max="28" width="23.0"/>
    <col customWidth="1" min="29" max="29" width="15.0"/>
    <col customWidth="1" min="30" max="30" width="21.5"/>
    <col customWidth="1" min="31" max="31" width="20.13"/>
    <col customWidth="1" min="32" max="32" width="17.63"/>
  </cols>
  <sheetData>
    <row r="1">
      <c r="AD1" s="152" t="s">
        <v>233</v>
      </c>
      <c r="AE1" s="152" t="s">
        <v>234</v>
      </c>
      <c r="AF1" s="153" t="s">
        <v>235</v>
      </c>
    </row>
    <row r="2">
      <c r="AD2" s="155">
        <f t="shared" ref="AD2:AD22" si="1">(C2*12.99)+(D2*7.99)+(E2*7.99)+(F2*23.99)+(G2*20.99)+(H2*20.99)+(I2*20.99)+(J2*18.99)+(K2*21.99)+(L2*22.99)+(M2*22.99)+(N2*21.99)+(O2*21.99)+(P2*21.99)+(Q2*19.99)+(R2*19.99)+(S2*19.99)+(T2*17.99)+(U2*22.99)+(V2*20.99)+(W2*19.99)+(X2*19.99)+(Y2*19.99)+(Z2*23.99)+(AA2*18.99)+(AB2*16.99)+(AC2*19.99)</f>
        <v>18.99</v>
      </c>
      <c r="AE2" s="156">
        <f t="shared" ref="AE2:AE22" si="2">AD2*1.13</f>
        <v>21.4587</v>
      </c>
      <c r="AF2" s="155">
        <f t="shared" ref="AF2:AF22" si="3">AE2+11.99</f>
        <v>33.4487</v>
      </c>
    </row>
    <row r="3">
      <c r="AD3" s="155">
        <f t="shared" si="1"/>
        <v>70.96</v>
      </c>
      <c r="AE3" s="156">
        <f t="shared" si="2"/>
        <v>80.1848</v>
      </c>
      <c r="AF3" s="155">
        <f t="shared" si="3"/>
        <v>92.1748</v>
      </c>
    </row>
    <row r="4">
      <c r="AD4" s="155">
        <f t="shared" si="1"/>
        <v>20.99</v>
      </c>
      <c r="AE4" s="156">
        <f t="shared" si="2"/>
        <v>23.7187</v>
      </c>
      <c r="AF4" s="155">
        <f t="shared" si="3"/>
        <v>35.7087</v>
      </c>
    </row>
    <row r="5">
      <c r="AD5" s="155">
        <f t="shared" si="1"/>
        <v>19.99</v>
      </c>
      <c r="AE5" s="156">
        <f t="shared" si="2"/>
        <v>22.5887</v>
      </c>
      <c r="AF5" s="155">
        <f t="shared" si="3"/>
        <v>34.5787</v>
      </c>
    </row>
    <row r="6">
      <c r="AD6" s="155">
        <f t="shared" si="1"/>
        <v>18.99</v>
      </c>
      <c r="AE6" s="156">
        <f t="shared" si="2"/>
        <v>21.4587</v>
      </c>
      <c r="AF6" s="155">
        <f t="shared" si="3"/>
        <v>33.4487</v>
      </c>
    </row>
    <row r="7">
      <c r="AD7" s="155">
        <f t="shared" si="1"/>
        <v>18.99</v>
      </c>
      <c r="AE7" s="156">
        <f t="shared" si="2"/>
        <v>21.4587</v>
      </c>
      <c r="AF7" s="155">
        <f t="shared" si="3"/>
        <v>33.4487</v>
      </c>
    </row>
    <row r="8">
      <c r="AD8" s="155">
        <f t="shared" si="1"/>
        <v>18.99</v>
      </c>
      <c r="AE8" s="156">
        <f t="shared" si="2"/>
        <v>21.4587</v>
      </c>
      <c r="AF8" s="155">
        <f t="shared" si="3"/>
        <v>33.4487</v>
      </c>
    </row>
    <row r="9">
      <c r="AD9" s="155">
        <f t="shared" si="1"/>
        <v>21.99</v>
      </c>
      <c r="AE9" s="156">
        <f t="shared" si="2"/>
        <v>24.8487</v>
      </c>
      <c r="AF9" s="155">
        <f t="shared" si="3"/>
        <v>36.8387</v>
      </c>
    </row>
    <row r="10">
      <c r="AD10" s="155">
        <f t="shared" si="1"/>
        <v>19.99</v>
      </c>
      <c r="AE10" s="156">
        <f t="shared" si="2"/>
        <v>22.5887</v>
      </c>
      <c r="AF10" s="155">
        <f t="shared" si="3"/>
        <v>34.5787</v>
      </c>
    </row>
    <row r="11">
      <c r="AD11" s="155">
        <f t="shared" si="1"/>
        <v>19.99</v>
      </c>
      <c r="AE11" s="156">
        <f t="shared" si="2"/>
        <v>22.5887</v>
      </c>
      <c r="AF11" s="155">
        <f t="shared" si="3"/>
        <v>34.5787</v>
      </c>
    </row>
    <row r="12">
      <c r="AD12" s="155">
        <f t="shared" si="1"/>
        <v>19.99</v>
      </c>
      <c r="AE12" s="156">
        <f t="shared" si="2"/>
        <v>22.5887</v>
      </c>
      <c r="AF12" s="155">
        <f t="shared" si="3"/>
        <v>34.5787</v>
      </c>
    </row>
    <row r="13">
      <c r="AD13" s="155">
        <f t="shared" si="1"/>
        <v>0</v>
      </c>
      <c r="AE13" s="156">
        <f t="shared" si="2"/>
        <v>0</v>
      </c>
      <c r="AF13" s="155">
        <f t="shared" si="3"/>
        <v>11.99</v>
      </c>
    </row>
    <row r="14">
      <c r="AD14" s="155">
        <f t="shared" si="1"/>
        <v>0</v>
      </c>
      <c r="AE14" s="156">
        <f t="shared" si="2"/>
        <v>0</v>
      </c>
      <c r="AF14" s="155">
        <f t="shared" si="3"/>
        <v>11.99</v>
      </c>
    </row>
    <row r="15">
      <c r="AD15" s="155">
        <f t="shared" si="1"/>
        <v>0</v>
      </c>
      <c r="AE15" s="156">
        <f t="shared" si="2"/>
        <v>0</v>
      </c>
      <c r="AF15" s="155">
        <f t="shared" si="3"/>
        <v>11.99</v>
      </c>
    </row>
    <row r="16">
      <c r="AD16" s="155">
        <f t="shared" si="1"/>
        <v>0</v>
      </c>
      <c r="AE16" s="156">
        <f t="shared" si="2"/>
        <v>0</v>
      </c>
      <c r="AF16" s="155">
        <f t="shared" si="3"/>
        <v>11.99</v>
      </c>
    </row>
    <row r="17">
      <c r="AD17" s="155">
        <f t="shared" si="1"/>
        <v>0</v>
      </c>
      <c r="AE17" s="156">
        <f t="shared" si="2"/>
        <v>0</v>
      </c>
      <c r="AF17" s="155">
        <f t="shared" si="3"/>
        <v>11.99</v>
      </c>
    </row>
    <row r="18">
      <c r="AD18" s="155">
        <f t="shared" si="1"/>
        <v>0</v>
      </c>
      <c r="AE18" s="156">
        <f t="shared" si="2"/>
        <v>0</v>
      </c>
      <c r="AF18" s="155">
        <f t="shared" si="3"/>
        <v>11.99</v>
      </c>
    </row>
    <row r="19">
      <c r="H19" s="15" t="s">
        <v>0</v>
      </c>
      <c r="I19" s="15" t="s">
        <v>0</v>
      </c>
      <c r="AD19" s="155" t="str">
        <f t="shared" si="1"/>
        <v>#VALUE!</v>
      </c>
      <c r="AE19" s="156" t="str">
        <f t="shared" si="2"/>
        <v>#VALUE!</v>
      </c>
      <c r="AF19" s="155" t="str">
        <f t="shared" si="3"/>
        <v>#VALUE!</v>
      </c>
    </row>
    <row r="20">
      <c r="AD20" s="155">
        <f t="shared" si="1"/>
        <v>0</v>
      </c>
      <c r="AE20" s="156">
        <f t="shared" si="2"/>
        <v>0</v>
      </c>
      <c r="AF20" s="155">
        <f t="shared" si="3"/>
        <v>11.99</v>
      </c>
    </row>
    <row r="21">
      <c r="AD21" s="155">
        <f t="shared" si="1"/>
        <v>0</v>
      </c>
      <c r="AE21" s="156">
        <f t="shared" si="2"/>
        <v>0</v>
      </c>
      <c r="AF21" s="155">
        <f t="shared" si="3"/>
        <v>11.99</v>
      </c>
    </row>
    <row r="22">
      <c r="AD22" s="155">
        <f t="shared" si="1"/>
        <v>0</v>
      </c>
      <c r="AE22" s="156">
        <f t="shared" si="2"/>
        <v>0</v>
      </c>
      <c r="AF22" s="155">
        <f t="shared" si="3"/>
        <v>11.99</v>
      </c>
    </row>
    <row r="33"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</row>
  </sheetData>
  <conditionalFormatting sqref="C2:AC17">
    <cfRule type="cellIs" dxfId="8" priority="1" operator="lessThanOrEqual">
      <formula>0</formula>
    </cfRule>
  </conditionalFormatting>
  <conditionalFormatting sqref="C2:AC17">
    <cfRule type="cellIs" dxfId="7" priority="2" operator="greaterThanOrEqual">
      <formula>1</formula>
    </cfRule>
  </conditionalFormatting>
  <conditionalFormatting sqref="AD10:AF22">
    <cfRule type="cellIs" dxfId="9" priority="3" operator="lessThanOrEqual">
      <formula>0</formula>
    </cfRule>
  </conditionalFormatting>
  <conditionalFormatting sqref="AD10:AF22">
    <cfRule type="cellIs" dxfId="9" priority="4" operator="lessThanOrEqual">
      <formula>0</formula>
    </cfRule>
  </conditionalFormatting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20.25"/>
    <col customWidth="1" min="7" max="7" width="24.13"/>
    <col customWidth="1" min="8" max="8" width="22.63"/>
    <col customWidth="1" min="9" max="9" width="23.38"/>
    <col customWidth="1" min="10" max="10" width="24.25"/>
    <col customWidth="1" min="11" max="11" width="32.38"/>
    <col customWidth="1" min="12" max="12" width="24.25"/>
    <col customWidth="1" min="13" max="13" width="22.63"/>
    <col customWidth="1" min="14" max="14" width="24.0"/>
    <col customWidth="1" min="15" max="15" width="27.75"/>
    <col customWidth="1" min="16" max="16" width="19.25"/>
    <col customWidth="1" min="17" max="17" width="27.13"/>
    <col customWidth="1" min="18" max="18" width="31.88"/>
    <col customWidth="1" min="19" max="19" width="23.13"/>
    <col customWidth="1" min="20" max="20" width="19.25"/>
    <col customWidth="1" min="21" max="23" width="18.88"/>
    <col customWidth="1" min="24" max="24" width="22.88"/>
    <col customWidth="1" min="25" max="26" width="18.88"/>
    <col customWidth="1" min="27" max="27" width="19.5"/>
    <col customWidth="1" min="28" max="28" width="23.13"/>
    <col customWidth="1" min="29" max="29" width="27.75"/>
    <col customWidth="1" min="30" max="30" width="24.25"/>
    <col customWidth="1" min="31" max="31" width="26.63"/>
    <col customWidth="1" min="32" max="32" width="18.88"/>
    <col customWidth="1" min="33" max="33" width="46.25"/>
    <col customWidth="1" min="34" max="39" width="18.88"/>
  </cols>
  <sheetData>
    <row r="1" ht="22.5" customHeight="1">
      <c r="A1" s="124" t="s">
        <v>204</v>
      </c>
      <c r="B1" s="124" t="s">
        <v>247</v>
      </c>
      <c r="C1" s="124" t="s">
        <v>205</v>
      </c>
      <c r="D1" s="124" t="s">
        <v>248</v>
      </c>
      <c r="E1" s="124" t="s">
        <v>249</v>
      </c>
      <c r="F1" s="124" t="s">
        <v>208</v>
      </c>
      <c r="G1" s="124" t="s">
        <v>206</v>
      </c>
      <c r="H1" s="124" t="s">
        <v>207</v>
      </c>
      <c r="I1" s="124" t="s">
        <v>209</v>
      </c>
      <c r="J1" s="124" t="s">
        <v>210</v>
      </c>
      <c r="K1" s="124" t="s">
        <v>211</v>
      </c>
      <c r="L1" s="124" t="s">
        <v>212</v>
      </c>
      <c r="M1" s="124" t="s">
        <v>213</v>
      </c>
      <c r="N1" s="124" t="s">
        <v>214</v>
      </c>
      <c r="O1" s="124" t="s">
        <v>215</v>
      </c>
      <c r="P1" s="124" t="s">
        <v>216</v>
      </c>
      <c r="Q1" s="124" t="s">
        <v>217</v>
      </c>
      <c r="R1" s="124" t="s">
        <v>218</v>
      </c>
      <c r="S1" s="124" t="s">
        <v>250</v>
      </c>
      <c r="T1" s="124" t="s">
        <v>220</v>
      </c>
      <c r="U1" s="124" t="s">
        <v>221</v>
      </c>
      <c r="V1" s="124" t="s">
        <v>222</v>
      </c>
      <c r="W1" s="124" t="s">
        <v>223</v>
      </c>
      <c r="X1" s="124" t="s">
        <v>224</v>
      </c>
      <c r="Y1" s="124" t="s">
        <v>225</v>
      </c>
      <c r="Z1" s="124" t="s">
        <v>226</v>
      </c>
      <c r="AA1" s="124" t="s">
        <v>227</v>
      </c>
      <c r="AB1" s="124" t="s">
        <v>228</v>
      </c>
      <c r="AC1" s="124" t="s">
        <v>229</v>
      </c>
      <c r="AD1" s="124" t="s">
        <v>230</v>
      </c>
      <c r="AE1" s="124" t="s">
        <v>231</v>
      </c>
      <c r="AF1" s="124" t="s">
        <v>232</v>
      </c>
      <c r="AG1" s="124" t="s">
        <v>251</v>
      </c>
    </row>
    <row r="2" ht="22.5" customHeight="1">
      <c r="A2" s="157">
        <v>45733.51705459491</v>
      </c>
      <c r="B2" s="158" t="s">
        <v>252</v>
      </c>
      <c r="C2" s="158" t="s">
        <v>246</v>
      </c>
      <c r="D2" s="158" t="s">
        <v>253</v>
      </c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58" t="s">
        <v>254</v>
      </c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</row>
    <row r="3" ht="22.5" customHeight="1">
      <c r="A3" s="157">
        <v>45733.84437233796</v>
      </c>
      <c r="B3" s="158" t="s">
        <v>255</v>
      </c>
      <c r="C3" s="158" t="s">
        <v>245</v>
      </c>
      <c r="D3" s="158" t="s">
        <v>256</v>
      </c>
      <c r="E3" s="158" t="s">
        <v>257</v>
      </c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58" t="s">
        <v>254</v>
      </c>
      <c r="AB3" s="131"/>
      <c r="AC3" s="131"/>
      <c r="AD3" s="131"/>
      <c r="AE3" s="131"/>
      <c r="AF3" s="131"/>
      <c r="AG3" s="158" t="s">
        <v>258</v>
      </c>
    </row>
    <row r="4" ht="22.5" customHeight="1">
      <c r="A4" s="157">
        <v>45733.93947037037</v>
      </c>
      <c r="B4" s="158" t="s">
        <v>259</v>
      </c>
      <c r="C4" s="158" t="s">
        <v>244</v>
      </c>
      <c r="D4" s="158" t="s">
        <v>260</v>
      </c>
      <c r="E4" s="158" t="s">
        <v>261</v>
      </c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58" t="s">
        <v>254</v>
      </c>
      <c r="AB4" s="131"/>
      <c r="AC4" s="131"/>
      <c r="AD4" s="131"/>
      <c r="AE4" s="131"/>
      <c r="AF4" s="131"/>
      <c r="AG4" s="158" t="s">
        <v>262</v>
      </c>
    </row>
    <row r="5" ht="22.5" customHeight="1">
      <c r="A5" s="157">
        <v>45734.65800340278</v>
      </c>
      <c r="B5" s="158" t="s">
        <v>263</v>
      </c>
      <c r="C5" s="158" t="s">
        <v>243</v>
      </c>
      <c r="D5" s="158" t="s">
        <v>264</v>
      </c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58" t="s">
        <v>254</v>
      </c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</row>
    <row r="6" ht="22.5" customHeight="1">
      <c r="A6" s="157">
        <v>45734.66089866898</v>
      </c>
      <c r="B6" s="158" t="s">
        <v>265</v>
      </c>
      <c r="C6" s="158" t="s">
        <v>242</v>
      </c>
      <c r="D6" s="158" t="s">
        <v>266</v>
      </c>
      <c r="E6" s="158" t="s">
        <v>267</v>
      </c>
      <c r="F6" s="131"/>
      <c r="G6" s="131"/>
      <c r="H6" s="131"/>
      <c r="I6" s="131"/>
      <c r="J6" s="131"/>
      <c r="K6" s="131"/>
      <c r="L6" s="131"/>
      <c r="M6" s="158" t="s">
        <v>254</v>
      </c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58" t="s">
        <v>268</v>
      </c>
    </row>
    <row r="7" ht="22.5" customHeight="1">
      <c r="A7" s="157">
        <v>45734.67287516204</v>
      </c>
      <c r="B7" s="158" t="s">
        <v>269</v>
      </c>
      <c r="C7" s="158" t="s">
        <v>241</v>
      </c>
      <c r="D7" s="158" t="s">
        <v>270</v>
      </c>
      <c r="E7" s="158" t="s">
        <v>271</v>
      </c>
      <c r="F7" s="131"/>
      <c r="G7" s="131"/>
      <c r="H7" s="131"/>
      <c r="I7" s="131"/>
      <c r="J7" s="131"/>
      <c r="K7" s="131"/>
      <c r="L7" s="131"/>
      <c r="M7" s="158" t="s">
        <v>254</v>
      </c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58" t="s">
        <v>271</v>
      </c>
    </row>
    <row r="8" ht="22.5" customHeight="1">
      <c r="A8" s="157">
        <v>45734.67873513889</v>
      </c>
      <c r="B8" s="158" t="s">
        <v>272</v>
      </c>
      <c r="C8" s="158" t="s">
        <v>240</v>
      </c>
      <c r="D8" s="158" t="s">
        <v>273</v>
      </c>
      <c r="E8" s="158" t="s">
        <v>134</v>
      </c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  <c r="AC8" s="131"/>
      <c r="AD8" s="158" t="s">
        <v>254</v>
      </c>
      <c r="AE8" s="131"/>
      <c r="AF8" s="131"/>
      <c r="AG8" s="131"/>
    </row>
    <row r="9" ht="22.5" customHeight="1">
      <c r="A9" s="157">
        <v>45734.683459618056</v>
      </c>
      <c r="B9" s="158" t="s">
        <v>274</v>
      </c>
      <c r="C9" s="158" t="s">
        <v>239</v>
      </c>
      <c r="D9" s="158" t="s">
        <v>275</v>
      </c>
      <c r="E9" s="158" t="s">
        <v>276</v>
      </c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58" t="s">
        <v>254</v>
      </c>
      <c r="AA9" s="131"/>
      <c r="AB9" s="131"/>
      <c r="AC9" s="131"/>
      <c r="AD9" s="131"/>
      <c r="AE9" s="131"/>
      <c r="AF9" s="131"/>
      <c r="AG9" s="158" t="s">
        <v>134</v>
      </c>
    </row>
    <row r="10" ht="22.5" customHeight="1">
      <c r="A10" s="157">
        <v>45734.795782037036</v>
      </c>
      <c r="B10" s="158" t="s">
        <v>277</v>
      </c>
      <c r="C10" s="158" t="s">
        <v>238</v>
      </c>
      <c r="D10" s="158" t="s">
        <v>278</v>
      </c>
      <c r="E10" s="158" t="s">
        <v>134</v>
      </c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58" t="s">
        <v>254</v>
      </c>
      <c r="Z10" s="131"/>
      <c r="AA10" s="131"/>
      <c r="AB10" s="131"/>
      <c r="AC10" s="131"/>
      <c r="AD10" s="131"/>
      <c r="AE10" s="131"/>
      <c r="AF10" s="131"/>
      <c r="AG10" s="158" t="s">
        <v>279</v>
      </c>
    </row>
    <row r="11" ht="22.5" customHeight="1">
      <c r="A11" s="159">
        <v>45734.911373229166</v>
      </c>
      <c r="B11" s="160" t="s">
        <v>280</v>
      </c>
      <c r="C11" s="160" t="s">
        <v>237</v>
      </c>
      <c r="D11" s="160" t="s">
        <v>281</v>
      </c>
      <c r="E11" s="160" t="s">
        <v>282</v>
      </c>
      <c r="H11" s="160" t="s">
        <v>254</v>
      </c>
      <c r="K11" s="160" t="s">
        <v>254</v>
      </c>
      <c r="X11" s="160" t="s">
        <v>254</v>
      </c>
      <c r="AD11" s="160" t="s">
        <v>254</v>
      </c>
      <c r="AG11" s="160" t="s">
        <v>283</v>
      </c>
    </row>
    <row r="12" ht="22.5" customHeight="1">
      <c r="A12" s="159">
        <v>45735.04670314815</v>
      </c>
      <c r="B12" s="160" t="s">
        <v>284</v>
      </c>
      <c r="C12" s="160" t="s">
        <v>236</v>
      </c>
      <c r="D12" s="160" t="s">
        <v>285</v>
      </c>
      <c r="E12" s="160" t="s">
        <v>286</v>
      </c>
      <c r="AD12" s="160" t="s">
        <v>254</v>
      </c>
      <c r="AG12" s="160" t="s">
        <v>287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61" t="s">
        <v>204</v>
      </c>
      <c r="B1" s="162" t="s">
        <v>247</v>
      </c>
      <c r="C1" s="162" t="s">
        <v>205</v>
      </c>
      <c r="D1" s="162" t="s">
        <v>248</v>
      </c>
      <c r="E1" s="162" t="s">
        <v>249</v>
      </c>
      <c r="F1" s="162" t="s">
        <v>208</v>
      </c>
      <c r="G1" s="162" t="s">
        <v>206</v>
      </c>
      <c r="H1" s="162" t="s">
        <v>207</v>
      </c>
      <c r="I1" s="162" t="s">
        <v>209</v>
      </c>
      <c r="J1" s="162" t="s">
        <v>210</v>
      </c>
      <c r="K1" s="162" t="s">
        <v>211</v>
      </c>
      <c r="L1" s="162" t="s">
        <v>212</v>
      </c>
      <c r="M1" s="162" t="s">
        <v>213</v>
      </c>
      <c r="N1" s="162" t="s">
        <v>214</v>
      </c>
      <c r="O1" s="162" t="s">
        <v>215</v>
      </c>
      <c r="P1" s="162" t="s">
        <v>216</v>
      </c>
      <c r="Q1" s="162" t="s">
        <v>217</v>
      </c>
      <c r="R1" s="162" t="s">
        <v>218</v>
      </c>
      <c r="S1" s="162" t="s">
        <v>250</v>
      </c>
      <c r="T1" s="162" t="s">
        <v>220</v>
      </c>
      <c r="U1" s="162" t="s">
        <v>221</v>
      </c>
      <c r="V1" s="162" t="s">
        <v>222</v>
      </c>
      <c r="W1" s="162" t="s">
        <v>223</v>
      </c>
      <c r="X1" s="162" t="s">
        <v>224</v>
      </c>
      <c r="Y1" s="162" t="s">
        <v>225</v>
      </c>
      <c r="Z1" s="162" t="s">
        <v>226</v>
      </c>
      <c r="AA1" s="162" t="s">
        <v>227</v>
      </c>
      <c r="AB1" s="162" t="s">
        <v>228</v>
      </c>
      <c r="AC1" s="162" t="s">
        <v>229</v>
      </c>
      <c r="AD1" s="162" t="s">
        <v>230</v>
      </c>
      <c r="AE1" s="162" t="s">
        <v>231</v>
      </c>
      <c r="AF1" s="162" t="s">
        <v>232</v>
      </c>
      <c r="AG1" s="163" t="s">
        <v>251</v>
      </c>
    </row>
    <row r="2">
      <c r="A2" s="164">
        <v>45733.93947037037</v>
      </c>
      <c r="B2" s="165" t="s">
        <v>259</v>
      </c>
      <c r="C2" s="165" t="s">
        <v>244</v>
      </c>
      <c r="D2" s="165" t="s">
        <v>260</v>
      </c>
      <c r="E2" s="165" t="s">
        <v>261</v>
      </c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5" t="s">
        <v>254</v>
      </c>
      <c r="AB2" s="166"/>
      <c r="AC2" s="166"/>
      <c r="AD2" s="166"/>
      <c r="AE2" s="166"/>
      <c r="AF2" s="166"/>
      <c r="AG2" s="167" t="s">
        <v>262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61" t="s">
        <v>204</v>
      </c>
      <c r="B1" s="162" t="s">
        <v>247</v>
      </c>
      <c r="C1" s="162" t="s">
        <v>205</v>
      </c>
      <c r="D1" s="162" t="s">
        <v>248</v>
      </c>
      <c r="E1" s="162" t="s">
        <v>249</v>
      </c>
      <c r="F1" s="162" t="s">
        <v>208</v>
      </c>
      <c r="G1" s="162" t="s">
        <v>206</v>
      </c>
      <c r="H1" s="162" t="s">
        <v>207</v>
      </c>
      <c r="I1" s="162" t="s">
        <v>209</v>
      </c>
      <c r="J1" s="162" t="s">
        <v>210</v>
      </c>
      <c r="K1" s="162" t="s">
        <v>211</v>
      </c>
      <c r="L1" s="162" t="s">
        <v>212</v>
      </c>
      <c r="M1" s="162" t="s">
        <v>213</v>
      </c>
      <c r="N1" s="162" t="s">
        <v>214</v>
      </c>
      <c r="O1" s="162" t="s">
        <v>215</v>
      </c>
      <c r="P1" s="162" t="s">
        <v>216</v>
      </c>
      <c r="Q1" s="162" t="s">
        <v>217</v>
      </c>
      <c r="R1" s="162" t="s">
        <v>218</v>
      </c>
      <c r="S1" s="162" t="s">
        <v>250</v>
      </c>
      <c r="T1" s="162" t="s">
        <v>220</v>
      </c>
      <c r="U1" s="162" t="s">
        <v>221</v>
      </c>
      <c r="V1" s="162" t="s">
        <v>222</v>
      </c>
      <c r="W1" s="162" t="s">
        <v>223</v>
      </c>
      <c r="X1" s="162" t="s">
        <v>224</v>
      </c>
      <c r="Y1" s="162" t="s">
        <v>225</v>
      </c>
      <c r="Z1" s="162" t="s">
        <v>226</v>
      </c>
      <c r="AA1" s="162" t="s">
        <v>227</v>
      </c>
      <c r="AB1" s="162" t="s">
        <v>228</v>
      </c>
      <c r="AC1" s="162" t="s">
        <v>229</v>
      </c>
      <c r="AD1" s="162" t="s">
        <v>230</v>
      </c>
      <c r="AE1" s="162" t="s">
        <v>231</v>
      </c>
      <c r="AF1" s="162" t="s">
        <v>232</v>
      </c>
      <c r="AG1" s="163" t="s">
        <v>251</v>
      </c>
    </row>
    <row r="2">
      <c r="A2" s="164">
        <v>45733.50122878472</v>
      </c>
      <c r="B2" s="165" t="s">
        <v>259</v>
      </c>
      <c r="C2" s="165" t="s">
        <v>244</v>
      </c>
      <c r="D2" s="165" t="s">
        <v>260</v>
      </c>
      <c r="E2" s="165" t="s">
        <v>261</v>
      </c>
      <c r="F2" s="166"/>
      <c r="G2" s="166"/>
      <c r="H2" s="166"/>
      <c r="I2" s="166"/>
      <c r="J2" s="165" t="s">
        <v>254</v>
      </c>
      <c r="K2" s="166"/>
      <c r="L2" s="166"/>
      <c r="M2" s="166"/>
      <c r="N2" s="165" t="s">
        <v>254</v>
      </c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5" t="s">
        <v>254</v>
      </c>
      <c r="AB2" s="166"/>
      <c r="AC2" s="166"/>
      <c r="AD2" s="166"/>
      <c r="AE2" s="166"/>
      <c r="AF2" s="166"/>
      <c r="AG2" s="167" t="s">
        <v>262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37.25"/>
    <col customWidth="1" min="3" max="3" width="29.75"/>
    <col customWidth="1" min="4" max="4" width="34.63"/>
    <col customWidth="1" min="5" max="14" width="18.88"/>
  </cols>
  <sheetData>
    <row r="1" ht="22.5" customHeight="1">
      <c r="A1" s="124" t="s">
        <v>204</v>
      </c>
      <c r="B1" s="124" t="s">
        <v>288</v>
      </c>
      <c r="C1" s="124" t="s">
        <v>289</v>
      </c>
      <c r="D1" s="124" t="s">
        <v>290</v>
      </c>
      <c r="E1" s="124" t="s">
        <v>291</v>
      </c>
      <c r="F1" s="124" t="s">
        <v>292</v>
      </c>
      <c r="G1" s="124" t="s">
        <v>293</v>
      </c>
      <c r="H1" s="124" t="s">
        <v>294</v>
      </c>
    </row>
    <row r="2" ht="22.5" customHeight="1">
      <c r="A2" s="157">
        <v>45725.663347951384</v>
      </c>
      <c r="B2" s="158" t="s">
        <v>295</v>
      </c>
      <c r="C2" s="158" t="s">
        <v>105</v>
      </c>
      <c r="D2" s="158">
        <v>10.0</v>
      </c>
      <c r="E2" s="158">
        <v>3.0</v>
      </c>
      <c r="F2" s="158">
        <v>4.0</v>
      </c>
      <c r="G2" s="158">
        <v>5.0</v>
      </c>
      <c r="H2" s="158">
        <v>4.0</v>
      </c>
    </row>
    <row r="3" ht="22.5" customHeight="1">
      <c r="A3" s="157">
        <v>45725.66891790509</v>
      </c>
      <c r="B3" s="158" t="s">
        <v>296</v>
      </c>
      <c r="C3" s="158" t="s">
        <v>105</v>
      </c>
      <c r="D3" s="158">
        <v>10.0</v>
      </c>
      <c r="E3" s="158">
        <v>5.0</v>
      </c>
      <c r="F3" s="158">
        <v>2.0</v>
      </c>
      <c r="G3" s="158">
        <v>3.0</v>
      </c>
      <c r="H3" s="158">
        <v>4.0</v>
      </c>
    </row>
    <row r="4" ht="22.5" customHeight="1">
      <c r="A4" s="157">
        <v>45725.67849061343</v>
      </c>
      <c r="B4" s="158" t="s">
        <v>296</v>
      </c>
      <c r="C4" s="158" t="s">
        <v>105</v>
      </c>
      <c r="D4" s="158">
        <v>8.0</v>
      </c>
      <c r="E4" s="158">
        <v>5.0</v>
      </c>
      <c r="F4" s="158">
        <v>2.0</v>
      </c>
      <c r="G4" s="158">
        <v>2.0</v>
      </c>
      <c r="H4" s="158">
        <v>2.0</v>
      </c>
      <c r="K4" s="168" t="s">
        <v>297</v>
      </c>
      <c r="L4" s="168" t="s">
        <v>298</v>
      </c>
      <c r="M4" s="15" t="s">
        <v>299</v>
      </c>
    </row>
    <row r="5" ht="22.5" customHeight="1">
      <c r="A5" s="157">
        <v>45725.68518181713</v>
      </c>
      <c r="B5" s="158" t="s">
        <v>295</v>
      </c>
      <c r="C5" s="158" t="s">
        <v>134</v>
      </c>
      <c r="D5" s="158">
        <v>10.0</v>
      </c>
      <c r="E5" s="158">
        <v>4.0</v>
      </c>
      <c r="F5" s="158">
        <v>4.0</v>
      </c>
      <c r="G5" s="158">
        <v>3.0</v>
      </c>
      <c r="H5" s="158">
        <v>3.0</v>
      </c>
      <c r="J5" s="133" t="s">
        <v>300</v>
      </c>
      <c r="K5" s="169">
        <f>AVERAGE(F:F)</f>
        <v>3.952380952</v>
      </c>
      <c r="L5" s="169">
        <f>STDEV(F:F)</f>
        <v>1.116968687</v>
      </c>
    </row>
    <row r="6" ht="22.5" customHeight="1">
      <c r="A6" s="159">
        <v>45725.69631796297</v>
      </c>
      <c r="B6" s="160" t="s">
        <v>295</v>
      </c>
      <c r="C6" s="160" t="s">
        <v>105</v>
      </c>
      <c r="D6" s="160">
        <v>10.0</v>
      </c>
      <c r="E6" s="160">
        <v>3.0</v>
      </c>
      <c r="F6" s="160">
        <v>4.0</v>
      </c>
      <c r="G6" s="160">
        <v>5.0</v>
      </c>
      <c r="H6" s="160">
        <v>1.0</v>
      </c>
      <c r="J6" s="133" t="s">
        <v>301</v>
      </c>
      <c r="K6" s="169">
        <f>AVERAGE(H:H)</f>
        <v>3.80952381</v>
      </c>
      <c r="L6" s="169">
        <f>STDEV(H:H)</f>
        <v>1.030487633</v>
      </c>
    </row>
    <row r="7" ht="22.5" customHeight="1">
      <c r="A7" s="159">
        <v>45725.744320474536</v>
      </c>
      <c r="B7" s="160" t="s">
        <v>302</v>
      </c>
      <c r="C7" s="160" t="s">
        <v>105</v>
      </c>
      <c r="D7" s="160">
        <v>6.0</v>
      </c>
      <c r="E7" s="160">
        <v>3.0</v>
      </c>
      <c r="F7" s="160">
        <v>5.0</v>
      </c>
      <c r="G7" s="160">
        <v>5.0</v>
      </c>
      <c r="H7" s="160">
        <v>5.0</v>
      </c>
      <c r="J7" s="133" t="s">
        <v>303</v>
      </c>
      <c r="K7" s="169">
        <f>AVERAGE(G:G)</f>
        <v>3.80952381</v>
      </c>
      <c r="L7" s="169">
        <f>STDEV(G:G)</f>
        <v>1.289148852</v>
      </c>
    </row>
    <row r="8" ht="22.5" customHeight="1">
      <c r="A8" s="159">
        <v>45725.746758587964</v>
      </c>
      <c r="B8" s="160" t="s">
        <v>295</v>
      </c>
      <c r="C8" s="160" t="s">
        <v>105</v>
      </c>
      <c r="D8" s="160">
        <v>10.0</v>
      </c>
      <c r="E8" s="160">
        <v>4.0</v>
      </c>
      <c r="F8" s="160">
        <v>5.0</v>
      </c>
      <c r="G8" s="160">
        <v>1.0</v>
      </c>
      <c r="H8" s="160">
        <v>5.0</v>
      </c>
      <c r="J8" s="133" t="s">
        <v>304</v>
      </c>
      <c r="K8" s="169">
        <f>AVERAGE(E:E)</f>
        <v>3.047619048</v>
      </c>
      <c r="L8" s="169">
        <f>STDEV(E:E)</f>
        <v>1.160869953</v>
      </c>
    </row>
    <row r="9" ht="22.5" customHeight="1">
      <c r="A9" s="159">
        <v>45725.79496918981</v>
      </c>
      <c r="B9" s="160" t="s">
        <v>295</v>
      </c>
      <c r="C9" s="160" t="s">
        <v>105</v>
      </c>
      <c r="D9" s="160">
        <v>6.0</v>
      </c>
      <c r="E9" s="160">
        <v>3.0</v>
      </c>
      <c r="F9" s="160">
        <v>5.0</v>
      </c>
      <c r="G9" s="160">
        <v>5.0</v>
      </c>
      <c r="H9" s="160">
        <v>3.0</v>
      </c>
    </row>
    <row r="10" ht="22.5" customHeight="1">
      <c r="A10" s="159">
        <v>45725.87406278936</v>
      </c>
      <c r="B10" s="160" t="s">
        <v>296</v>
      </c>
      <c r="C10" s="160" t="s">
        <v>105</v>
      </c>
      <c r="D10" s="160">
        <v>6.0</v>
      </c>
      <c r="E10" s="160">
        <v>2.0</v>
      </c>
      <c r="F10" s="160">
        <v>3.0</v>
      </c>
      <c r="G10" s="160">
        <v>5.0</v>
      </c>
      <c r="H10" s="160">
        <v>4.0</v>
      </c>
    </row>
    <row r="11" ht="22.5" customHeight="1">
      <c r="A11" s="159">
        <v>45725.88626679398</v>
      </c>
      <c r="B11" s="160" t="s">
        <v>302</v>
      </c>
      <c r="C11" s="160" t="s">
        <v>105</v>
      </c>
      <c r="D11" s="160">
        <v>10.0</v>
      </c>
      <c r="E11" s="160">
        <v>4.0</v>
      </c>
      <c r="F11" s="160">
        <v>5.0</v>
      </c>
      <c r="G11" s="160">
        <v>5.0</v>
      </c>
      <c r="H11" s="160">
        <v>5.0</v>
      </c>
    </row>
    <row r="12" ht="22.5" customHeight="1">
      <c r="A12" s="159">
        <v>45725.89244002315</v>
      </c>
      <c r="B12" s="160" t="s">
        <v>295</v>
      </c>
      <c r="C12" s="160" t="s">
        <v>105</v>
      </c>
      <c r="D12" s="160">
        <v>7.0</v>
      </c>
      <c r="E12" s="160">
        <v>3.0</v>
      </c>
      <c r="F12" s="160">
        <v>4.0</v>
      </c>
      <c r="G12" s="160">
        <v>3.0</v>
      </c>
      <c r="H12" s="160">
        <v>4.0</v>
      </c>
    </row>
    <row r="13" ht="22.5" customHeight="1">
      <c r="A13" s="159">
        <v>45725.89681681713</v>
      </c>
      <c r="B13" s="160" t="s">
        <v>295</v>
      </c>
      <c r="C13" s="160" t="s">
        <v>105</v>
      </c>
      <c r="D13" s="160">
        <v>10.0</v>
      </c>
      <c r="E13" s="160">
        <v>4.0</v>
      </c>
      <c r="F13" s="160">
        <v>5.0</v>
      </c>
      <c r="G13" s="160">
        <v>3.0</v>
      </c>
      <c r="H13" s="160">
        <v>3.0</v>
      </c>
    </row>
    <row r="14" ht="22.5" customHeight="1">
      <c r="A14" s="159">
        <v>45725.97542400463</v>
      </c>
      <c r="B14" s="160" t="s">
        <v>302</v>
      </c>
      <c r="C14" s="160" t="s">
        <v>105</v>
      </c>
      <c r="D14" s="160">
        <v>4.0</v>
      </c>
      <c r="E14" s="160">
        <v>2.0</v>
      </c>
      <c r="F14" s="160">
        <v>2.0</v>
      </c>
      <c r="G14" s="160">
        <v>2.0</v>
      </c>
      <c r="H14" s="160">
        <v>4.0</v>
      </c>
    </row>
    <row r="15" ht="22.5" customHeight="1">
      <c r="A15" s="159">
        <v>45726.02239053241</v>
      </c>
      <c r="B15" s="160" t="s">
        <v>295</v>
      </c>
      <c r="C15" s="160" t="s">
        <v>105</v>
      </c>
      <c r="D15" s="160">
        <v>5.0</v>
      </c>
      <c r="E15" s="160">
        <v>2.0</v>
      </c>
      <c r="F15" s="160">
        <v>5.0</v>
      </c>
      <c r="G15" s="160">
        <v>3.0</v>
      </c>
      <c r="H15" s="160">
        <v>3.0</v>
      </c>
    </row>
    <row r="16" ht="22.5" customHeight="1">
      <c r="A16" s="159">
        <v>45726.61606072917</v>
      </c>
      <c r="B16" s="160" t="s">
        <v>305</v>
      </c>
      <c r="C16" s="160" t="s">
        <v>105</v>
      </c>
      <c r="D16" s="160">
        <v>6.0</v>
      </c>
      <c r="E16" s="160">
        <v>1.0</v>
      </c>
      <c r="F16" s="160">
        <v>3.0</v>
      </c>
      <c r="G16" s="160">
        <v>5.0</v>
      </c>
      <c r="H16" s="160">
        <v>5.0</v>
      </c>
    </row>
    <row r="17" ht="22.5" customHeight="1">
      <c r="A17" s="159">
        <v>45726.76733688657</v>
      </c>
      <c r="B17" s="160" t="s">
        <v>302</v>
      </c>
      <c r="C17" s="160" t="s">
        <v>105</v>
      </c>
      <c r="D17" s="160">
        <v>10.0</v>
      </c>
      <c r="E17" s="160">
        <v>3.0</v>
      </c>
      <c r="F17" s="160">
        <v>4.0</v>
      </c>
      <c r="G17" s="160">
        <v>3.0</v>
      </c>
      <c r="H17" s="160">
        <v>4.0</v>
      </c>
    </row>
    <row r="18" ht="22.5" customHeight="1">
      <c r="A18" s="159">
        <v>45726.962197789355</v>
      </c>
      <c r="B18" s="160" t="s">
        <v>295</v>
      </c>
      <c r="C18" s="160" t="s">
        <v>105</v>
      </c>
      <c r="D18" s="160">
        <v>6.0</v>
      </c>
      <c r="E18" s="160">
        <v>2.0</v>
      </c>
      <c r="F18" s="160">
        <v>5.0</v>
      </c>
      <c r="G18" s="160">
        <v>5.0</v>
      </c>
      <c r="H18" s="160">
        <v>4.0</v>
      </c>
    </row>
    <row r="19" ht="22.5" customHeight="1">
      <c r="A19" s="159">
        <v>45727.459585868055</v>
      </c>
      <c r="B19" s="160" t="s">
        <v>296</v>
      </c>
      <c r="C19" s="160" t="s">
        <v>105</v>
      </c>
      <c r="D19" s="160">
        <v>7.0</v>
      </c>
      <c r="E19" s="160">
        <v>4.0</v>
      </c>
      <c r="F19" s="160">
        <v>3.0</v>
      </c>
      <c r="G19" s="160">
        <v>4.0</v>
      </c>
      <c r="H19" s="160">
        <v>5.0</v>
      </c>
    </row>
    <row r="20" ht="22.5" customHeight="1">
      <c r="A20" s="159">
        <v>45727.8488153588</v>
      </c>
      <c r="B20" s="160" t="s">
        <v>305</v>
      </c>
      <c r="C20" s="160" t="s">
        <v>105</v>
      </c>
      <c r="D20" s="160">
        <v>6.0</v>
      </c>
      <c r="E20" s="160">
        <v>4.0</v>
      </c>
      <c r="F20" s="160">
        <v>5.0</v>
      </c>
      <c r="G20" s="160">
        <v>5.0</v>
      </c>
      <c r="H20" s="160">
        <v>4.0</v>
      </c>
    </row>
    <row r="21" ht="22.5" customHeight="1">
      <c r="A21" s="159">
        <v>45727.8523078588</v>
      </c>
      <c r="B21" s="160" t="s">
        <v>296</v>
      </c>
      <c r="C21" s="160" t="s">
        <v>105</v>
      </c>
      <c r="D21" s="160">
        <v>10.0</v>
      </c>
      <c r="E21" s="160">
        <v>2.0</v>
      </c>
      <c r="F21" s="160">
        <v>3.0</v>
      </c>
      <c r="G21" s="160">
        <v>3.0</v>
      </c>
      <c r="H21" s="160">
        <v>4.0</v>
      </c>
    </row>
    <row r="22" ht="22.5" customHeight="1">
      <c r="A22" s="159">
        <v>45728.45915347223</v>
      </c>
      <c r="B22" s="160" t="s">
        <v>306</v>
      </c>
      <c r="C22" s="160" t="s">
        <v>105</v>
      </c>
      <c r="D22" s="160">
        <v>10.0</v>
      </c>
      <c r="E22" s="160">
        <v>1.0</v>
      </c>
      <c r="F22" s="160">
        <v>5.0</v>
      </c>
      <c r="G22" s="160">
        <v>5.0</v>
      </c>
      <c r="H22" s="160">
        <v>4.0</v>
      </c>
    </row>
    <row r="33" ht="21.0" customHeight="1"/>
    <row r="34" ht="21.0" customHeight="1"/>
    <row r="40">
      <c r="J40" s="15"/>
    </row>
    <row r="48">
      <c r="K48" s="170" t="s">
        <v>307</v>
      </c>
      <c r="L48" s="171" t="s">
        <v>308</v>
      </c>
    </row>
    <row r="49">
      <c r="J49" s="135" t="s">
        <v>309</v>
      </c>
      <c r="K49" s="169">
        <f>AVERAGE(D:D)</f>
        <v>7.952380952</v>
      </c>
      <c r="L49" s="169">
        <f>K49*5</f>
        <v>39.76190476</v>
      </c>
    </row>
    <row r="51">
      <c r="K51" s="172" t="s">
        <v>310</v>
      </c>
      <c r="L51" s="172" t="s">
        <v>298</v>
      </c>
    </row>
    <row r="52">
      <c r="J52" s="173" t="s">
        <v>311</v>
      </c>
      <c r="K52" s="174" t="s">
        <v>312</v>
      </c>
      <c r="L52" s="174" t="s">
        <v>63</v>
      </c>
    </row>
  </sheetData>
  <autoFilter ref="$J$4:$L$8">
    <sortState ref="J4:L8">
      <sortCondition descending="1" ref="K4:K8"/>
      <sortCondition descending="1" ref="L4:L8"/>
    </sortState>
  </autoFilter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3" width="18.88"/>
    <col customWidth="1" min="4" max="4" width="27.13"/>
    <col customWidth="1" min="5" max="5" width="52.5"/>
    <col customWidth="1" min="6" max="6" width="45.63"/>
    <col customWidth="1" min="7" max="7" width="99.25"/>
    <col customWidth="1" min="8" max="13" width="18.88"/>
  </cols>
  <sheetData>
    <row r="1" ht="22.5" customHeight="1">
      <c r="A1" s="175" t="s">
        <v>204</v>
      </c>
      <c r="B1" s="124" t="s">
        <v>205</v>
      </c>
      <c r="C1" s="124" t="s">
        <v>248</v>
      </c>
      <c r="D1" s="124" t="s">
        <v>247</v>
      </c>
      <c r="E1" s="176" t="s">
        <v>313</v>
      </c>
      <c r="F1" s="176" t="s">
        <v>314</v>
      </c>
      <c r="G1" s="176" t="s">
        <v>315</v>
      </c>
    </row>
    <row r="2" ht="22.5" customHeight="1">
      <c r="A2" s="177">
        <v>45728.79920756945</v>
      </c>
      <c r="B2" s="125" t="s">
        <v>245</v>
      </c>
      <c r="C2" s="158" t="s">
        <v>256</v>
      </c>
      <c r="D2" s="158" t="s">
        <v>255</v>
      </c>
      <c r="E2" s="158" t="s">
        <v>316</v>
      </c>
      <c r="F2" s="158" t="s">
        <v>317</v>
      </c>
      <c r="G2" s="178" t="s">
        <v>318</v>
      </c>
      <c r="I2" s="52" t="s">
        <v>319</v>
      </c>
    </row>
    <row r="3" ht="22.5" customHeight="1">
      <c r="A3" s="179">
        <v>45728.84265896991</v>
      </c>
      <c r="B3" s="125" t="s">
        <v>244</v>
      </c>
      <c r="C3" s="160" t="s">
        <v>260</v>
      </c>
      <c r="D3" s="160" t="s">
        <v>259</v>
      </c>
      <c r="E3" s="160" t="s">
        <v>316</v>
      </c>
      <c r="F3" s="160" t="s">
        <v>317</v>
      </c>
      <c r="G3" s="180" t="s">
        <v>320</v>
      </c>
      <c r="I3" s="132" t="s">
        <v>321</v>
      </c>
    </row>
    <row r="4" ht="22.5" customHeight="1">
      <c r="A4" s="179">
        <v>45728.85233834491</v>
      </c>
      <c r="B4" s="181" t="s">
        <v>322</v>
      </c>
      <c r="C4" s="160" t="s">
        <v>285</v>
      </c>
      <c r="D4" s="160" t="s">
        <v>323</v>
      </c>
      <c r="E4" s="160" t="s">
        <v>316</v>
      </c>
      <c r="F4" s="160" t="s">
        <v>317</v>
      </c>
      <c r="G4" s="180" t="s">
        <v>324</v>
      </c>
      <c r="I4" s="129" t="s">
        <v>325</v>
      </c>
    </row>
    <row r="5" ht="22.5" customHeight="1">
      <c r="A5" s="179">
        <v>45728.88875997685</v>
      </c>
      <c r="B5" s="125" t="s">
        <v>238</v>
      </c>
      <c r="C5" s="160" t="s">
        <v>278</v>
      </c>
      <c r="D5" s="160" t="s">
        <v>277</v>
      </c>
      <c r="E5" s="160" t="s">
        <v>316</v>
      </c>
      <c r="F5" s="160" t="s">
        <v>317</v>
      </c>
      <c r="G5" s="182"/>
      <c r="I5" s="133" t="s">
        <v>326</v>
      </c>
    </row>
    <row r="6" ht="22.5" customHeight="1">
      <c r="A6" s="179">
        <v>45728.9035434838</v>
      </c>
      <c r="B6" s="125" t="s">
        <v>327</v>
      </c>
      <c r="C6" s="160" t="s">
        <v>328</v>
      </c>
      <c r="D6" s="160" t="s">
        <v>329</v>
      </c>
      <c r="E6" s="160" t="s">
        <v>316</v>
      </c>
      <c r="F6" s="160" t="s">
        <v>317</v>
      </c>
      <c r="G6" s="182"/>
      <c r="I6" s="183" t="s">
        <v>330</v>
      </c>
    </row>
    <row r="7" ht="22.5" customHeight="1">
      <c r="A7" s="179">
        <v>45728.94783636574</v>
      </c>
      <c r="B7" s="181" t="s">
        <v>331</v>
      </c>
      <c r="C7" s="160" t="s">
        <v>332</v>
      </c>
      <c r="D7" s="160" t="s">
        <v>333</v>
      </c>
      <c r="E7" s="160" t="s">
        <v>334</v>
      </c>
      <c r="F7" s="160" t="s">
        <v>317</v>
      </c>
      <c r="G7" s="180" t="s">
        <v>335</v>
      </c>
    </row>
    <row r="8" ht="22.5" customHeight="1">
      <c r="A8" s="179">
        <v>45728.99238269676</v>
      </c>
      <c r="B8" s="125" t="s">
        <v>336</v>
      </c>
      <c r="C8" s="160" t="s">
        <v>337</v>
      </c>
      <c r="D8" s="160" t="s">
        <v>338</v>
      </c>
      <c r="E8" s="160" t="s">
        <v>316</v>
      </c>
      <c r="F8" s="160" t="s">
        <v>317</v>
      </c>
      <c r="G8" s="180" t="s">
        <v>339</v>
      </c>
      <c r="J8" s="15" t="s">
        <v>340</v>
      </c>
    </row>
    <row r="9" ht="22.5" customHeight="1">
      <c r="A9" s="179">
        <v>45729.06213585648</v>
      </c>
      <c r="B9" s="143" t="s">
        <v>341</v>
      </c>
      <c r="C9" s="160" t="s">
        <v>342</v>
      </c>
      <c r="D9" s="160" t="s">
        <v>269</v>
      </c>
      <c r="E9" s="160" t="s">
        <v>316</v>
      </c>
      <c r="F9" s="160" t="s">
        <v>317</v>
      </c>
      <c r="G9" s="180" t="s">
        <v>343</v>
      </c>
      <c r="J9" s="15" t="s">
        <v>344</v>
      </c>
    </row>
    <row r="10" ht="22.5" customHeight="1">
      <c r="A10" s="179">
        <v>45729.06234559028</v>
      </c>
      <c r="B10" s="143" t="s">
        <v>239</v>
      </c>
      <c r="C10" s="160" t="s">
        <v>275</v>
      </c>
      <c r="D10" s="160" t="s">
        <v>274</v>
      </c>
      <c r="E10" s="160" t="s">
        <v>316</v>
      </c>
      <c r="F10" s="160" t="s">
        <v>317</v>
      </c>
      <c r="G10" s="180" t="s">
        <v>345</v>
      </c>
    </row>
    <row r="11" ht="22.5" customHeight="1">
      <c r="A11" s="179">
        <v>45729.535648206016</v>
      </c>
      <c r="B11" s="142" t="s">
        <v>242</v>
      </c>
      <c r="C11" s="160" t="s">
        <v>266</v>
      </c>
      <c r="D11" s="160" t="s">
        <v>265</v>
      </c>
      <c r="E11" s="160" t="s">
        <v>334</v>
      </c>
      <c r="F11" s="160" t="s">
        <v>317</v>
      </c>
      <c r="G11" s="180" t="s">
        <v>346</v>
      </c>
    </row>
    <row r="12" ht="22.5" customHeight="1">
      <c r="A12" s="179">
        <v>45729.88646825231</v>
      </c>
      <c r="B12" s="140" t="s">
        <v>347</v>
      </c>
      <c r="C12" s="160" t="s">
        <v>348</v>
      </c>
      <c r="D12" s="160" t="s">
        <v>349</v>
      </c>
      <c r="E12" s="160" t="s">
        <v>316</v>
      </c>
      <c r="F12" s="160" t="s">
        <v>350</v>
      </c>
      <c r="G12" s="182"/>
    </row>
    <row r="13" ht="22.5" customHeight="1">
      <c r="A13" s="179">
        <v>45729.89512631945</v>
      </c>
      <c r="B13" s="125" t="s">
        <v>243</v>
      </c>
      <c r="C13" s="160" t="s">
        <v>264</v>
      </c>
      <c r="D13" s="160" t="s">
        <v>263</v>
      </c>
      <c r="E13" s="160" t="s">
        <v>316</v>
      </c>
      <c r="F13" s="160" t="s">
        <v>317</v>
      </c>
      <c r="G13" s="180" t="s">
        <v>351</v>
      </c>
    </row>
    <row r="14" ht="22.5" customHeight="1">
      <c r="A14" s="179">
        <v>45729.898151030095</v>
      </c>
      <c r="B14" s="125" t="s">
        <v>237</v>
      </c>
      <c r="C14" s="160" t="s">
        <v>281</v>
      </c>
      <c r="D14" s="160" t="s">
        <v>280</v>
      </c>
      <c r="E14" s="160" t="s">
        <v>316</v>
      </c>
      <c r="F14" s="160" t="s">
        <v>317</v>
      </c>
      <c r="G14" s="182"/>
    </row>
    <row r="15" ht="22.5" customHeight="1">
      <c r="A15" s="179">
        <v>45729.8988505787</v>
      </c>
      <c r="B15" s="125" t="s">
        <v>327</v>
      </c>
      <c r="C15" s="160" t="s">
        <v>352</v>
      </c>
      <c r="D15" s="160" t="s">
        <v>353</v>
      </c>
      <c r="E15" s="160" t="s">
        <v>316</v>
      </c>
      <c r="F15" s="160" t="s">
        <v>317</v>
      </c>
      <c r="G15" s="182"/>
    </row>
    <row r="16" ht="22.5" customHeight="1">
      <c r="A16" s="179">
        <v>45729.92201797453</v>
      </c>
      <c r="B16" s="125" t="s">
        <v>246</v>
      </c>
      <c r="C16" s="160" t="s">
        <v>253</v>
      </c>
      <c r="D16" s="160" t="s">
        <v>252</v>
      </c>
      <c r="E16" s="160" t="s">
        <v>316</v>
      </c>
      <c r="F16" s="160" t="s">
        <v>317</v>
      </c>
      <c r="G16" s="182"/>
    </row>
    <row r="17" ht="22.5" customHeight="1">
      <c r="A17" s="179">
        <v>45729.98148332176</v>
      </c>
      <c r="B17" s="143" t="s">
        <v>354</v>
      </c>
      <c r="C17" s="160" t="s">
        <v>273</v>
      </c>
      <c r="D17" s="160" t="s">
        <v>272</v>
      </c>
      <c r="E17" s="160" t="s">
        <v>316</v>
      </c>
      <c r="F17" s="160" t="s">
        <v>317</v>
      </c>
      <c r="G17" s="180" t="s">
        <v>355</v>
      </c>
    </row>
    <row r="18" ht="22.5" customHeight="1">
      <c r="A18" s="179">
        <v>45730.04835116898</v>
      </c>
      <c r="B18" s="125" t="s">
        <v>356</v>
      </c>
      <c r="C18" s="160" t="s">
        <v>285</v>
      </c>
      <c r="D18" s="160" t="s">
        <v>357</v>
      </c>
      <c r="E18" s="160" t="s">
        <v>316</v>
      </c>
      <c r="F18" s="160" t="s">
        <v>317</v>
      </c>
      <c r="G18" s="184" t="s">
        <v>358</v>
      </c>
    </row>
    <row r="19" ht="22.5" customHeight="1">
      <c r="A19" s="179">
        <v>45730.70961494213</v>
      </c>
      <c r="B19" s="142" t="s">
        <v>359</v>
      </c>
      <c r="C19" s="160" t="s">
        <v>352</v>
      </c>
      <c r="D19" s="160" t="s">
        <v>360</v>
      </c>
      <c r="E19" s="160" t="s">
        <v>316</v>
      </c>
      <c r="F19" s="160" t="s">
        <v>350</v>
      </c>
      <c r="G19" s="160" t="s">
        <v>361</v>
      </c>
    </row>
    <row r="20" ht="22.5" customHeight="1">
      <c r="A20" s="179">
        <v>45730.91139670138</v>
      </c>
      <c r="B20" s="140" t="s">
        <v>362</v>
      </c>
      <c r="C20" s="160" t="s">
        <v>270</v>
      </c>
      <c r="D20" s="160" t="s">
        <v>363</v>
      </c>
      <c r="E20" s="160" t="s">
        <v>316</v>
      </c>
      <c r="F20" s="160" t="s">
        <v>350</v>
      </c>
    </row>
    <row r="21" ht="22.5" customHeight="1">
      <c r="A21" s="159">
        <v>45731.933196770835</v>
      </c>
      <c r="B21" s="125" t="s">
        <v>364</v>
      </c>
      <c r="C21" s="160" t="s">
        <v>281</v>
      </c>
      <c r="D21" s="160" t="s">
        <v>365</v>
      </c>
      <c r="E21" s="160" t="s">
        <v>316</v>
      </c>
      <c r="F21" s="160" t="s">
        <v>317</v>
      </c>
    </row>
    <row r="22" ht="22.5" customHeight="1">
      <c r="A22" s="159">
        <v>45731.987081342595</v>
      </c>
      <c r="B22" s="125" t="s">
        <v>366</v>
      </c>
      <c r="C22" s="160" t="s">
        <v>367</v>
      </c>
      <c r="D22" s="160" t="s">
        <v>368</v>
      </c>
      <c r="E22" s="160" t="s">
        <v>316</v>
      </c>
      <c r="F22" s="160" t="s">
        <v>317</v>
      </c>
      <c r="G22" s="160" t="s">
        <v>369</v>
      </c>
    </row>
    <row r="23" ht="22.5" customHeight="1">
      <c r="A23" s="159">
        <v>45732.43074581018</v>
      </c>
      <c r="B23" s="140" t="s">
        <v>370</v>
      </c>
      <c r="C23" s="160" t="s">
        <v>371</v>
      </c>
      <c r="D23" s="160" t="s">
        <v>372</v>
      </c>
      <c r="E23" s="160" t="s">
        <v>334</v>
      </c>
      <c r="F23" s="160" t="s">
        <v>350</v>
      </c>
    </row>
    <row r="24">
      <c r="A24" s="185"/>
      <c r="E24" s="186"/>
      <c r="F24" s="186"/>
      <c r="G24" s="186"/>
    </row>
    <row r="25">
      <c r="A25" s="185"/>
      <c r="E25" s="186"/>
      <c r="F25" s="186"/>
      <c r="G25" s="186"/>
    </row>
    <row r="26">
      <c r="A26" s="185"/>
      <c r="E26" s="186"/>
      <c r="F26" s="186"/>
      <c r="G26" s="186"/>
    </row>
    <row r="27">
      <c r="A27" s="185"/>
      <c r="E27" s="186"/>
      <c r="F27" s="186"/>
      <c r="G27" s="186"/>
    </row>
    <row r="28">
      <c r="A28" s="185"/>
      <c r="E28" s="186"/>
      <c r="F28" s="186"/>
      <c r="G28" s="186"/>
    </row>
    <row r="29">
      <c r="A29" s="185"/>
      <c r="E29" s="186"/>
      <c r="F29" s="186"/>
      <c r="G29" s="186"/>
    </row>
    <row r="30">
      <c r="A30" s="185"/>
      <c r="E30" s="186"/>
      <c r="F30" s="186"/>
      <c r="G30" s="186"/>
    </row>
    <row r="31">
      <c r="A31" s="185"/>
      <c r="E31" s="186"/>
      <c r="F31" s="186"/>
      <c r="G31" s="186"/>
    </row>
    <row r="32">
      <c r="A32" s="185"/>
      <c r="E32" s="186"/>
      <c r="F32" s="186"/>
      <c r="G32" s="186"/>
    </row>
    <row r="33">
      <c r="A33" s="185"/>
      <c r="E33" s="186"/>
      <c r="F33" s="186"/>
      <c r="G33" s="186"/>
    </row>
    <row r="34">
      <c r="A34" s="185"/>
      <c r="E34" s="186"/>
      <c r="F34" s="186"/>
      <c r="G34" s="186"/>
    </row>
    <row r="35">
      <c r="A35" s="185"/>
      <c r="E35" s="186"/>
      <c r="F35" s="186"/>
      <c r="G35" s="186"/>
    </row>
    <row r="36">
      <c r="A36" s="185"/>
      <c r="E36" s="186"/>
      <c r="F36" s="186"/>
      <c r="G36" s="186"/>
    </row>
    <row r="37">
      <c r="A37" s="185"/>
      <c r="E37" s="186"/>
      <c r="F37" s="186"/>
      <c r="G37" s="186"/>
    </row>
    <row r="38">
      <c r="A38" s="185"/>
      <c r="E38" s="186"/>
      <c r="F38" s="186"/>
      <c r="G38" s="186"/>
    </row>
    <row r="39">
      <c r="A39" s="185"/>
      <c r="E39" s="186"/>
      <c r="F39" s="186"/>
      <c r="G39" s="186"/>
    </row>
    <row r="40">
      <c r="A40" s="185"/>
      <c r="E40" s="186"/>
      <c r="F40" s="186"/>
      <c r="G40" s="186"/>
    </row>
    <row r="41">
      <c r="A41" s="185"/>
      <c r="E41" s="186"/>
      <c r="F41" s="186"/>
      <c r="G41" s="186"/>
    </row>
    <row r="42">
      <c r="A42" s="185"/>
      <c r="E42" s="186"/>
      <c r="F42" s="186"/>
      <c r="G42" s="186"/>
    </row>
    <row r="43">
      <c r="A43" s="185"/>
      <c r="E43" s="186"/>
      <c r="F43" s="186"/>
      <c r="G43" s="186"/>
    </row>
    <row r="44">
      <c r="A44" s="185"/>
      <c r="E44" s="186"/>
      <c r="F44" s="186"/>
      <c r="G44" s="186"/>
    </row>
    <row r="45">
      <c r="A45" s="185"/>
      <c r="E45" s="186"/>
      <c r="F45" s="186"/>
      <c r="G45" s="186"/>
    </row>
    <row r="46">
      <c r="A46" s="185"/>
      <c r="E46" s="186"/>
      <c r="F46" s="186"/>
      <c r="G46" s="186"/>
    </row>
    <row r="47">
      <c r="A47" s="185"/>
      <c r="E47" s="186"/>
      <c r="F47" s="186"/>
      <c r="G47" s="186"/>
    </row>
    <row r="48">
      <c r="A48" s="185"/>
      <c r="E48" s="186"/>
      <c r="F48" s="186"/>
      <c r="G48" s="186"/>
    </row>
    <row r="49">
      <c r="A49" s="185"/>
      <c r="E49" s="186"/>
      <c r="F49" s="186"/>
      <c r="G49" s="186"/>
    </row>
    <row r="50">
      <c r="A50" s="185"/>
      <c r="E50" s="186"/>
      <c r="F50" s="186"/>
      <c r="G50" s="186"/>
    </row>
    <row r="51">
      <c r="A51" s="185"/>
      <c r="E51" s="186"/>
      <c r="F51" s="186"/>
      <c r="G51" s="186"/>
    </row>
    <row r="52">
      <c r="A52" s="185"/>
      <c r="E52" s="186"/>
      <c r="F52" s="186"/>
      <c r="G52" s="186"/>
    </row>
    <row r="53">
      <c r="A53" s="185"/>
      <c r="E53" s="186"/>
      <c r="F53" s="186"/>
      <c r="G53" s="186"/>
    </row>
    <row r="54">
      <c r="A54" s="185"/>
      <c r="E54" s="186"/>
      <c r="F54" s="186"/>
      <c r="G54" s="186"/>
    </row>
    <row r="55">
      <c r="A55" s="185"/>
      <c r="E55" s="186"/>
      <c r="F55" s="186"/>
      <c r="G55" s="186"/>
    </row>
    <row r="56">
      <c r="A56" s="185"/>
      <c r="E56" s="186"/>
      <c r="F56" s="186"/>
      <c r="G56" s="186"/>
    </row>
    <row r="57">
      <c r="A57" s="185"/>
      <c r="E57" s="186"/>
      <c r="F57" s="186"/>
      <c r="G57" s="186"/>
    </row>
    <row r="58">
      <c r="A58" s="185"/>
      <c r="E58" s="186"/>
      <c r="F58" s="186"/>
      <c r="G58" s="186"/>
    </row>
    <row r="59">
      <c r="A59" s="185"/>
      <c r="E59" s="186"/>
      <c r="F59" s="186"/>
      <c r="G59" s="186"/>
    </row>
    <row r="60">
      <c r="A60" s="185"/>
      <c r="E60" s="186"/>
      <c r="F60" s="186"/>
      <c r="G60" s="186"/>
    </row>
    <row r="61">
      <c r="A61" s="185"/>
      <c r="E61" s="186"/>
      <c r="F61" s="186"/>
      <c r="G61" s="186"/>
    </row>
    <row r="62">
      <c r="A62" s="185"/>
      <c r="E62" s="186"/>
      <c r="F62" s="186"/>
      <c r="G62" s="186"/>
    </row>
    <row r="63">
      <c r="A63" s="185"/>
      <c r="E63" s="186"/>
      <c r="F63" s="186"/>
      <c r="G63" s="186"/>
    </row>
    <row r="64">
      <c r="A64" s="185"/>
      <c r="E64" s="186"/>
      <c r="F64" s="186"/>
      <c r="G64" s="186"/>
    </row>
    <row r="65">
      <c r="A65" s="185"/>
      <c r="E65" s="186"/>
      <c r="F65" s="186"/>
      <c r="G65" s="186"/>
    </row>
    <row r="66">
      <c r="A66" s="185"/>
      <c r="E66" s="186"/>
      <c r="F66" s="186"/>
      <c r="G66" s="186"/>
    </row>
    <row r="67">
      <c r="A67" s="185"/>
      <c r="E67" s="186"/>
      <c r="F67" s="186"/>
      <c r="G67" s="186"/>
    </row>
    <row r="68">
      <c r="A68" s="185"/>
      <c r="E68" s="186"/>
      <c r="F68" s="186"/>
      <c r="G68" s="186"/>
    </row>
    <row r="69">
      <c r="A69" s="185"/>
      <c r="E69" s="186"/>
      <c r="F69" s="186"/>
      <c r="G69" s="186"/>
    </row>
    <row r="70">
      <c r="A70" s="185"/>
      <c r="E70" s="186"/>
      <c r="F70" s="186"/>
      <c r="G70" s="186"/>
    </row>
    <row r="71">
      <c r="A71" s="185"/>
      <c r="E71" s="186"/>
      <c r="F71" s="186"/>
      <c r="G71" s="186"/>
    </row>
    <row r="72">
      <c r="A72" s="185"/>
      <c r="E72" s="186"/>
      <c r="F72" s="186"/>
      <c r="G72" s="186"/>
    </row>
    <row r="73">
      <c r="A73" s="185"/>
      <c r="E73" s="186"/>
      <c r="F73" s="186"/>
      <c r="G73" s="186"/>
    </row>
    <row r="74">
      <c r="A74" s="185"/>
      <c r="E74" s="186"/>
      <c r="F74" s="186"/>
      <c r="G74" s="186"/>
    </row>
    <row r="75">
      <c r="A75" s="185"/>
      <c r="E75" s="186"/>
      <c r="F75" s="186"/>
      <c r="G75" s="186"/>
    </row>
    <row r="76">
      <c r="A76" s="185"/>
      <c r="E76" s="186"/>
      <c r="F76" s="186"/>
      <c r="G76" s="186"/>
    </row>
    <row r="77">
      <c r="A77" s="185"/>
      <c r="E77" s="186"/>
      <c r="F77" s="186"/>
      <c r="G77" s="186"/>
    </row>
    <row r="78">
      <c r="A78" s="185"/>
      <c r="E78" s="186"/>
      <c r="F78" s="186"/>
      <c r="G78" s="186"/>
    </row>
    <row r="79">
      <c r="A79" s="185"/>
      <c r="E79" s="186"/>
      <c r="F79" s="186"/>
      <c r="G79" s="186"/>
    </row>
    <row r="80">
      <c r="A80" s="185"/>
      <c r="E80" s="186"/>
      <c r="F80" s="186"/>
      <c r="G80" s="186"/>
    </row>
    <row r="81">
      <c r="A81" s="185"/>
      <c r="E81" s="186"/>
      <c r="F81" s="186"/>
      <c r="G81" s="186"/>
    </row>
    <row r="82">
      <c r="A82" s="185"/>
      <c r="E82" s="186"/>
      <c r="F82" s="186"/>
      <c r="G82" s="186"/>
    </row>
    <row r="83">
      <c r="A83" s="185"/>
      <c r="E83" s="186"/>
      <c r="F83" s="186"/>
      <c r="G83" s="186"/>
    </row>
    <row r="84">
      <c r="A84" s="185"/>
      <c r="E84" s="186"/>
      <c r="F84" s="186"/>
      <c r="G84" s="186"/>
    </row>
    <row r="85">
      <c r="A85" s="185"/>
      <c r="E85" s="186"/>
      <c r="F85" s="186"/>
      <c r="G85" s="186"/>
    </row>
    <row r="86">
      <c r="A86" s="185"/>
      <c r="E86" s="186"/>
      <c r="F86" s="186"/>
      <c r="G86" s="186"/>
    </row>
    <row r="87">
      <c r="A87" s="185"/>
      <c r="E87" s="186"/>
      <c r="F87" s="186"/>
      <c r="G87" s="186"/>
    </row>
    <row r="88">
      <c r="A88" s="185"/>
      <c r="E88" s="186"/>
      <c r="F88" s="186"/>
      <c r="G88" s="186"/>
    </row>
    <row r="89">
      <c r="A89" s="185"/>
      <c r="E89" s="186"/>
      <c r="F89" s="186"/>
      <c r="G89" s="186"/>
    </row>
    <row r="90">
      <c r="A90" s="185"/>
      <c r="E90" s="186"/>
      <c r="F90" s="186"/>
      <c r="G90" s="186"/>
    </row>
    <row r="91">
      <c r="A91" s="185"/>
      <c r="E91" s="186"/>
      <c r="F91" s="186"/>
      <c r="G91" s="186"/>
    </row>
    <row r="92">
      <c r="A92" s="185"/>
      <c r="E92" s="186"/>
      <c r="F92" s="186"/>
      <c r="G92" s="186"/>
    </row>
    <row r="93">
      <c r="A93" s="185"/>
      <c r="E93" s="186"/>
      <c r="F93" s="186"/>
      <c r="G93" s="186"/>
    </row>
    <row r="94">
      <c r="A94" s="185"/>
      <c r="E94" s="186"/>
      <c r="F94" s="186"/>
      <c r="G94" s="186"/>
    </row>
    <row r="95">
      <c r="A95" s="185"/>
      <c r="E95" s="186"/>
      <c r="F95" s="186"/>
      <c r="G95" s="186"/>
    </row>
    <row r="96">
      <c r="A96" s="185"/>
      <c r="E96" s="186"/>
      <c r="F96" s="186"/>
      <c r="G96" s="186"/>
    </row>
    <row r="97">
      <c r="A97" s="185"/>
      <c r="E97" s="186"/>
      <c r="F97" s="186"/>
      <c r="G97" s="186"/>
    </row>
    <row r="98">
      <c r="A98" s="185"/>
      <c r="E98" s="186"/>
      <c r="F98" s="186"/>
      <c r="G98" s="186"/>
    </row>
    <row r="99">
      <c r="A99" s="185"/>
      <c r="E99" s="186"/>
      <c r="F99" s="186"/>
      <c r="G99" s="186"/>
    </row>
    <row r="100">
      <c r="A100" s="185"/>
      <c r="E100" s="186"/>
      <c r="F100" s="186"/>
      <c r="G100" s="186"/>
    </row>
    <row r="101">
      <c r="A101" s="185"/>
      <c r="E101" s="186"/>
      <c r="F101" s="186"/>
      <c r="G101" s="186"/>
    </row>
    <row r="102">
      <c r="A102" s="185"/>
      <c r="E102" s="186"/>
      <c r="F102" s="186"/>
      <c r="G102" s="186"/>
    </row>
    <row r="103">
      <c r="A103" s="185"/>
      <c r="E103" s="186"/>
      <c r="F103" s="186"/>
      <c r="G103" s="186"/>
    </row>
    <row r="104">
      <c r="A104" s="185"/>
      <c r="E104" s="186"/>
      <c r="F104" s="186"/>
      <c r="G104" s="186"/>
    </row>
    <row r="105">
      <c r="A105" s="185"/>
      <c r="E105" s="186"/>
      <c r="F105" s="186"/>
      <c r="G105" s="186"/>
    </row>
    <row r="106">
      <c r="A106" s="185"/>
      <c r="E106" s="186"/>
      <c r="F106" s="186"/>
      <c r="G106" s="186"/>
    </row>
    <row r="107">
      <c r="A107" s="185"/>
      <c r="E107" s="186"/>
      <c r="F107" s="186"/>
      <c r="G107" s="186"/>
    </row>
    <row r="108">
      <c r="A108" s="185"/>
      <c r="E108" s="186"/>
      <c r="F108" s="186"/>
      <c r="G108" s="186"/>
    </row>
    <row r="109">
      <c r="A109" s="185"/>
      <c r="E109" s="186"/>
      <c r="F109" s="186"/>
      <c r="G109" s="186"/>
    </row>
    <row r="110">
      <c r="A110" s="185"/>
      <c r="E110" s="186"/>
      <c r="F110" s="186"/>
      <c r="G110" s="186"/>
    </row>
    <row r="111">
      <c r="A111" s="185"/>
      <c r="E111" s="186"/>
      <c r="F111" s="186"/>
      <c r="G111" s="186"/>
    </row>
    <row r="112">
      <c r="A112" s="185"/>
      <c r="E112" s="186"/>
      <c r="F112" s="186"/>
      <c r="G112" s="186"/>
    </row>
    <row r="113">
      <c r="A113" s="185"/>
      <c r="E113" s="186"/>
      <c r="F113" s="186"/>
      <c r="G113" s="186"/>
    </row>
    <row r="114">
      <c r="A114" s="185"/>
      <c r="E114" s="186"/>
      <c r="F114" s="186"/>
      <c r="G114" s="186"/>
    </row>
    <row r="115">
      <c r="A115" s="185"/>
      <c r="E115" s="186"/>
      <c r="F115" s="186"/>
      <c r="G115" s="186"/>
    </row>
    <row r="116">
      <c r="A116" s="185"/>
      <c r="E116" s="186"/>
      <c r="F116" s="186"/>
      <c r="G116" s="186"/>
    </row>
    <row r="117">
      <c r="A117" s="185"/>
      <c r="E117" s="186"/>
      <c r="F117" s="186"/>
      <c r="G117" s="186"/>
    </row>
    <row r="118">
      <c r="A118" s="185"/>
      <c r="E118" s="186"/>
      <c r="F118" s="186"/>
      <c r="G118" s="186"/>
    </row>
    <row r="119">
      <c r="A119" s="185"/>
      <c r="E119" s="186"/>
      <c r="F119" s="186"/>
      <c r="G119" s="186"/>
    </row>
    <row r="120">
      <c r="A120" s="185"/>
      <c r="E120" s="186"/>
      <c r="F120" s="186"/>
      <c r="G120" s="186"/>
    </row>
    <row r="121">
      <c r="A121" s="185"/>
      <c r="E121" s="186"/>
      <c r="F121" s="186"/>
      <c r="G121" s="186"/>
    </row>
    <row r="122">
      <c r="A122" s="185"/>
      <c r="E122" s="186"/>
      <c r="F122" s="186"/>
      <c r="G122" s="186"/>
    </row>
    <row r="123">
      <c r="A123" s="185"/>
      <c r="E123" s="186"/>
      <c r="F123" s="186"/>
      <c r="G123" s="186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95.63"/>
    <col customWidth="1" min="3" max="3" width="16.25"/>
    <col customWidth="1" min="4" max="4" width="101.38"/>
  </cols>
  <sheetData>
    <row r="1">
      <c r="A1" s="15" t="s">
        <v>373</v>
      </c>
      <c r="B1" s="187" t="s">
        <v>374</v>
      </c>
      <c r="C1" s="15" t="s">
        <v>375</v>
      </c>
    </row>
    <row r="2">
      <c r="A2" s="15" t="s">
        <v>376</v>
      </c>
      <c r="B2" s="187" t="s">
        <v>377</v>
      </c>
      <c r="C2" s="15" t="s">
        <v>378</v>
      </c>
      <c r="D2" s="187" t="s">
        <v>379</v>
      </c>
    </row>
    <row r="3">
      <c r="A3" s="15" t="s">
        <v>380</v>
      </c>
      <c r="B3" s="187" t="s">
        <v>381</v>
      </c>
      <c r="C3" s="15" t="s">
        <v>380</v>
      </c>
      <c r="D3" s="187" t="s">
        <v>382</v>
      </c>
    </row>
    <row r="4">
      <c r="A4" s="15" t="s">
        <v>383</v>
      </c>
      <c r="B4" s="187" t="s">
        <v>384</v>
      </c>
      <c r="C4" s="15" t="s">
        <v>383</v>
      </c>
      <c r="D4" s="187" t="s">
        <v>385</v>
      </c>
    </row>
    <row r="28">
      <c r="B28" s="15"/>
    </row>
    <row r="43">
      <c r="B43" s="15"/>
    </row>
  </sheetData>
  <hyperlinks>
    <hyperlink r:id="rId1" ref="B1"/>
    <hyperlink r:id="rId2" ref="B2"/>
    <hyperlink r:id="rId3" ref="D2"/>
    <hyperlink r:id="rId4" ref="B3"/>
    <hyperlink r:id="rId5" ref="D3"/>
    <hyperlink r:id="rId6" ref="B4"/>
    <hyperlink r:id="rId7" ref="D4"/>
  </hyperlinks>
  <drawing r:id="rId8"/>
</worksheet>
</file>